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theme/theme1.xml" ContentType="application/vnd.openxmlformats-officedocument.theme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ccess" sheetId="2" state="visible" r:id="rId4"/>
    <sheet name="Leads" sheetId="3" state="visible" r:id="rId5"/>
    <sheet name="Customers &amp; contracts" sheetId="4" state="visible" r:id="rId6"/>
    <sheet name="Booking &amp; sessions" sheetId="5" state="visible" r:id="rId7"/>
    <sheet name="Operations" sheetId="6" state="visible" r:id="rId8"/>
    <sheet name="Traceability" sheetId="7" state="visible" r:id="rId9"/>
    <sheet name="Test design" sheetId="8" state="visible" r:id="rId10"/>
  </sheets>
  <definedNames>
    <definedName function="false" hidden="true" localSheetId="1" name="_xlnm._FilterDatabase" vbProcedure="false">Access!$A$1:$Q$80</definedName>
    <definedName function="false" hidden="true" localSheetId="4" name="_xlnm._FilterDatabase" vbProcedure="false">'Booking &amp; sessions'!$A$1:$Q$37</definedName>
    <definedName function="false" hidden="true" localSheetId="3" name="_xlnm._FilterDatabase" vbProcedure="false">'Customers &amp; contracts'!$A$1:$Q$46</definedName>
    <definedName function="false" hidden="true" localSheetId="2" name="_xlnm._FilterDatabase" vbProcedure="false">Leads!$A$1:$Q$44</definedName>
    <definedName function="false" hidden="true" localSheetId="5" name="_xlnm._FilterDatabase" vbProcedure="false">Operations!$A$1:$Q$59</definedName>
    <definedName function="false" hidden="true" localSheetId="6" name="_xlnm._FilterDatabase" vbProcedure="false">Traceability!$A$1:$D$97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Fill in when running the case by hand: Pass, Fail, Blocked or Not run.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Fill in when running the case by hand: Pass, Fail, Blocked or Not run.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Fill in when running the case by hand: Pass, Fail, Blocked or Not run.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Fill in when running the case by hand: Pass, Fail, Blocked or Not run.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Fill in when running the case by hand: Pass, Fail, Blocked or Not run.</t>
        </r>
      </text>
    </comment>
  </commentList>
</comments>
</file>

<file path=xl/sharedStrings.xml><?xml version="1.0" encoding="utf-8"?>
<sst xmlns="http://schemas.openxmlformats.org/spreadsheetml/2006/main" count="4184" uniqueCount="1768">
  <si>
    <t xml:space="preserve">Gym CRM full regression</t>
  </si>
  <si>
    <t xml:space="preserve">AI: keyless stand-in (drafts and readiness from a heuristic, not a model)</t>
  </si>
  <si>
    <t xml:space="preserve">Generated 2026-10-16 from the agent run against http://localhost:3410 (Gym CRM (fitness-crm sample, demo data)).</t>
  </si>
  <si>
    <t xml:space="preserve">Yellow cells on the module sheets are for testers: Tester result (Pass, Fail, Blocked, Not run), notes and date.</t>
  </si>
  <si>
    <t xml:space="preserve">Module</t>
  </si>
  <si>
    <t xml:space="preserve">Sheet</t>
  </si>
  <si>
    <t xml:space="preserve">Cases</t>
  </si>
  <si>
    <t xml:space="preserve">Automated</t>
  </si>
  <si>
    <t xml:space="preserve">Manual</t>
  </si>
  <si>
    <t xml:space="preserve">Not drafted</t>
  </si>
  <si>
    <t xml:space="preserve">Agent: passed (run 2)</t>
  </si>
  <si>
    <t xml:space="preserve">Agent: failed (run 2)</t>
  </si>
  <si>
    <t xml:space="preserve">Agent: inconclusive (run 2)</t>
  </si>
  <si>
    <t xml:space="preserve">Tester: pass</t>
  </si>
  <si>
    <t xml:space="preserve">Tester: fail</t>
  </si>
  <si>
    <t xml:space="preserve">Tester: blocked</t>
  </si>
  <si>
    <t xml:space="preserve">Sign-in, sessions, roles and permissions</t>
  </si>
  <si>
    <t xml:space="preserve">Access</t>
  </si>
  <si>
    <t xml:space="preserve">Leads and consulting</t>
  </si>
  <si>
    <t xml:space="preserve">Leads</t>
  </si>
  <si>
    <t xml:space="preserve">Customers and contracts</t>
  </si>
  <si>
    <t xml:space="preserve">Customers &amp; contracts</t>
  </si>
  <si>
    <t xml:space="preserve">PT booking, sessions, classes and check-in</t>
  </si>
  <si>
    <t xml:space="preserve">Booking &amp; sessions</t>
  </si>
  <si>
    <t xml:space="preserve">Money, approvals, configuration, tasks, workouts, reports and security</t>
  </si>
  <si>
    <t xml:space="preserve">Operations</t>
  </si>
  <si>
    <t xml:space="preserve">Total</t>
  </si>
  <si>
    <t xml:space="preserve">Automation coverage</t>
  </si>
  <si>
    <t xml:space="preserve">Technique</t>
  </si>
  <si>
    <t xml:space="preserve">Boundary value analysis</t>
  </si>
  <si>
    <t xml:space="preserve">Decision table</t>
  </si>
  <si>
    <t xml:space="preserve">Equivalence partitioning</t>
  </si>
  <si>
    <t xml:space="preserve">Error guessing</t>
  </si>
  <si>
    <t xml:space="preserve">Permission matrix</t>
  </si>
  <si>
    <t xml:space="preserve">State transition</t>
  </si>
  <si>
    <t xml:space="preserve">Use case</t>
  </si>
  <si>
    <t xml:space="preserve">ID</t>
  </si>
  <si>
    <t xml:space="preserve">Section</t>
  </si>
  <si>
    <t xml:space="preserve">Priority</t>
  </si>
  <si>
    <t xml:space="preserve">Title</t>
  </si>
  <si>
    <t xml:space="preserve">Requirement ID</t>
  </si>
  <si>
    <t xml:space="preserve">Requirement</t>
  </si>
  <si>
    <t xml:space="preserve">Preconditions</t>
  </si>
  <si>
    <t xml:space="preserve">Steps (action → expected)</t>
  </si>
  <si>
    <t xml:space="preserve">Type</t>
  </si>
  <si>
    <t xml:space="preserve">Why manual</t>
  </si>
  <si>
    <t xml:space="preserve">Agent run 1</t>
  </si>
  <si>
    <t xml:space="preserve">Agent run 2</t>
  </si>
  <si>
    <t xml:space="preserve">Observed on failure</t>
  </si>
  <si>
    <t xml:space="preserve">Tester result</t>
  </si>
  <si>
    <t xml:space="preserve">Tester notes</t>
  </si>
  <si>
    <t xml:space="preserve">Tested on</t>
  </si>
  <si>
    <t xml:space="preserve">AUTH-01</t>
  </si>
  <si>
    <t xml:space="preserve">Sign-in and sessions</t>
  </si>
  <si>
    <t xml:space="preserve">P1</t>
  </si>
  <si>
    <t xml:space="preserve">A manager signs in with email and password and reaches the dashboard</t>
  </si>
  <si>
    <t xml:space="preserve">BR-107</t>
  </si>
  <si>
    <t xml:space="preserve">A user with valid credentials signs in with email and password and lands on the dashboard "Tổng quan".</t>
  </si>
  <si>
    <t xml:space="preserve">Demo manager account</t>
  </si>
  <si>
    <t xml:space="preserve">1. Sign in as the manager → The dashboard "Tổng quan" opens</t>
  </si>
  <si>
    <t xml:space="preserve">PASSED</t>
  </si>
  <si>
    <t xml:space="preserve">AUTH-02</t>
  </si>
  <si>
    <t xml:space="preserve">A wrong password is refused with one generic message</t>
  </si>
  <si>
    <t xml:space="preserve">A wrong password is refused with "The email or password is wrong, or the account is disabled." and the user stays on /login.</t>
  </si>
  <si>
    <t xml:space="preserve">1. Sign in as the manager with a wrong password → The generic message is shown; still on /login</t>
  </si>
  <si>
    <t xml:space="preserve">AUTH-03</t>
  </si>
  <si>
    <t xml:space="preserve">An unknown email gets the same message as a wrong password (no account discovery)</t>
  </si>
  <si>
    <t xml:space="preserve">Signing in with an email that has no account shows the same "The email or password is wrong, or the account is disabled." message.</t>
  </si>
  <si>
    <t xml:space="preserve">No account for nobody@fitness-crm.test</t>
  </si>
  <si>
    <t xml:space="preserve">1. Sign in as nobody@fitness-crm.test → The same generic message; nothing reveals whether the account exists</t>
  </si>
  <si>
    <t xml:space="preserve">AUTH-04</t>
  </si>
  <si>
    <t xml:space="preserve">A signed-out visitor who opens the dashboard is sent to the login page</t>
  </si>
  <si>
    <t xml:space="preserve">AC-01</t>
  </si>
  <si>
    <t xml:space="preserve">A visitor who is not signed in and opens /dashboard by direct URL is sent to /login.</t>
  </si>
  <si>
    <t xml:space="preserve">Not signed in</t>
  </si>
  <si>
    <t xml:space="preserve">1. Open /dashboard → The login page opens</t>
  </si>
  <si>
    <t xml:space="preserve">AUTH-05</t>
  </si>
  <si>
    <t xml:space="preserve">P2</t>
  </si>
  <si>
    <t xml:space="preserve">A signed-out deep link to a record page is sent to the login page</t>
  </si>
  <si>
    <t xml:space="preserve">A visitor who is not signed in and opens /contracts by direct URL is sent to /login.</t>
  </si>
  <si>
    <t xml:space="preserve">1. Open /contracts → The login page opens</t>
  </si>
  <si>
    <t xml:space="preserve">AUTH-06</t>
  </si>
  <si>
    <t xml:space="preserve">After signing out, the dashboard needs a new sign-in</t>
  </si>
  <si>
    <t xml:space="preserve">After "Đăng xuất" from the account menu, opening /dashboard sends the user to /login.</t>
  </si>
  <si>
    <t xml:space="preserve">Signed in as the manager</t>
  </si>
  <si>
    <t xml:space="preserve">1. Account menu "Tài khoản" &gt; "Đăng xuất" → The login page opens
2. Open /dashboard → Sent to /login again</t>
  </si>
  <si>
    <t xml:space="preserve">AUTH-07</t>
  </si>
  <si>
    <t xml:space="preserve">Sign-in outside the allowed hours or days is refused</t>
  </si>
  <si>
    <t xml:space="preserve">Accounts can sign in only within their allowed hours and days.</t>
  </si>
  <si>
    <t xml:space="preserve">A user whose allowed hours exclude the current time</t>
  </si>
  <si>
    <t xml:space="preserve">1. Sign in outside the allowed window → Sign-in refused; the attempt is in the login history as failed
2. Sign in inside the window → Signed in</t>
  </si>
  <si>
    <t xml:space="preserve">Depends on time passing (timers, reminders, expiry); needs a controllable clock.</t>
  </si>
  <si>
    <t xml:space="preserve">AUTH-08</t>
  </si>
  <si>
    <t xml:space="preserve">A disabled account cannot sign in and gets the generic message</t>
  </si>
  <si>
    <t xml:space="preserve">A disabled account is refused with the generic sign-in message.</t>
  </si>
  <si>
    <t xml:space="preserve">Admin disables a test user</t>
  </si>
  <si>
    <t xml:space="preserve">1. Sign in as the disabled user → "The email or password is wrong, or the account is disabled."</t>
  </si>
  <si>
    <t xml:space="preserve">Needs two people acting in sequence (submit, then approve as someone else) inside one test.</t>
  </si>
  <si>
    <t xml:space="preserve">AUTH-09</t>
  </si>
  <si>
    <t xml:space="preserve">Every sign-in attempt is recorded with device and IP</t>
  </si>
  <si>
    <t xml:space="preserve">Sign-ins are recorded with device and IP in the login history.</t>
  </si>
  <si>
    <t xml:space="preserve">Admin can open Users &gt; a user &gt; Login history</t>
  </si>
  <si>
    <t xml:space="preserve">1. Sign in once with a wrong and once with the right password → Both attempts appear with result, device and IP</t>
  </si>
  <si>
    <t xml:space="preserve">AUTH-10</t>
  </si>
  <si>
    <t xml:space="preserve">Sign-in is rate limited at 20 attempts per minute per IP</t>
  </si>
  <si>
    <t xml:space="preserve">The sign-in endpoint allows 20 attempts per 60 seconds per IP; the 21st is refused.</t>
  </si>
  <si>
    <t xml:space="preserve">A clean rate-limit window</t>
  </si>
  <si>
    <t xml:space="preserve">1. Make 20 sign-in attempts within a minute → All are processed
2. Make the 21st → Refused with HTTP 429
3. Wait for the window to pass → Sign-in works again</t>
  </si>
  <si>
    <t xml:space="preserve">AUTH-11</t>
  </si>
  <si>
    <t xml:space="preserve">P3</t>
  </si>
  <si>
    <t xml:space="preserve">A session ends after 12 hours without activity</t>
  </si>
  <si>
    <t xml:space="preserve">A session lasts one working day (12 hours) without activity.</t>
  </si>
  <si>
    <t xml:space="preserve">Signed in</t>
  </si>
  <si>
    <t xml:space="preserve">1. Stay inactive for just under 12 hours → Still signed in
2. Stay inactive for 12 hours → "Phiên đăng nhập đã hết. Hãy đăng nhập lại."</t>
  </si>
  <si>
    <t xml:space="preserve">RBAC-01A</t>
  </si>
  <si>
    <t xml:space="preserve">Roles and permissions</t>
  </si>
  <si>
    <t xml:space="preserve">Admin can open /admin/users</t>
  </si>
  <si>
    <t xml:space="preserve">Users, roles, permissions: Admin only: Admin opens /admin/users ("Người dùng"); Fitness Manager sees "Bạn không có quyền xem trang này".</t>
  </si>
  <si>
    <t xml:space="preserve">Demo Admin account</t>
  </si>
  <si>
    <t xml:space="preserve">1. Sign in as Admin and open /admin/users → The page "Người dùng" opens</t>
  </si>
  <si>
    <t xml:space="preserve">RBAC-01B</t>
  </si>
  <si>
    <t xml:space="preserve">Fitness Manager cannot open /admin/users</t>
  </si>
  <si>
    <t xml:space="preserve">Demo Fitness Manager account</t>
  </si>
  <si>
    <t xml:space="preserve">1. Sign in as Fitness Manager and open /admin/users directly → "Bạn không có quyền xem trang này"</t>
  </si>
  <si>
    <t xml:space="preserve">RBAC-02A</t>
  </si>
  <si>
    <t xml:space="preserve">Admin can open /admin/roles</t>
  </si>
  <si>
    <t xml:space="preserve">Users, roles, permissions: Admin only: Admin opens /admin/roles ("Vai trò và phân quyền"); Fitness Manager sees "Bạn không có quyền xem trang này".</t>
  </si>
  <si>
    <t xml:space="preserve">1. Sign in as Admin and open /admin/roles → The page "Vai trò và phân quyền" opens</t>
  </si>
  <si>
    <t xml:space="preserve">RBAC-02B</t>
  </si>
  <si>
    <t xml:space="preserve">Fitness Manager cannot open /admin/roles</t>
  </si>
  <si>
    <t xml:space="preserve">1. Sign in as Fitness Manager and open /admin/roles directly → "Bạn không có quyền xem trang này"</t>
  </si>
  <si>
    <t xml:space="preserve">RBAC-03A</t>
  </si>
  <si>
    <t xml:space="preserve">Admin can open /admin/options</t>
  </si>
  <si>
    <t xml:space="preserve">Configuration: Admin only: Admin opens /admin/options ("Danh mục lựa chọn"); Fitness Manager sees "Bạn không có quyền xem trang này".</t>
  </si>
  <si>
    <t xml:space="preserve">1. Sign in as Admin and open /admin/options → The page "Danh mục lựa chọn" opens</t>
  </si>
  <si>
    <t xml:space="preserve">RBAC-03B</t>
  </si>
  <si>
    <t xml:space="preserve">Fitness Manager cannot open /admin/options</t>
  </si>
  <si>
    <t xml:space="preserve">1. Sign in as Fitness Manager and open /admin/options directly → "Bạn không có quyền xem trang này"</t>
  </si>
  <si>
    <t xml:space="preserve">RBAC-04A</t>
  </si>
  <si>
    <t xml:space="preserve">Admin can open /admin/parameters</t>
  </si>
  <si>
    <t xml:space="preserve">Configuration: Admin only: Admin opens /admin/parameters ("Tham số hệ thống"); Fitness Manager sees "Bạn không có quyền xem trang này".</t>
  </si>
  <si>
    <t xml:space="preserve">1. Sign in as Admin and open /admin/parameters → The page "Tham số hệ thống" opens</t>
  </si>
  <si>
    <t xml:space="preserve">RBAC-04B</t>
  </si>
  <si>
    <t xml:space="preserve">Fitness Manager cannot open /admin/parameters</t>
  </si>
  <si>
    <t xml:space="preserve">1. Sign in as Fitness Manager and open /admin/parameters directly → "Bạn không có quyền xem trang này"</t>
  </si>
  <si>
    <t xml:space="preserve">RBAC-05A</t>
  </si>
  <si>
    <t xml:space="preserve">Admin can open /admin/trash</t>
  </si>
  <si>
    <t xml:space="preserve">Trash: view, Admin only (AC-13): Admin opens /admin/trash ("Thùng rác"); Fitness Manager sees "Bạn không có quyền xem trang này".</t>
  </si>
  <si>
    <t xml:space="preserve">1. Sign in as Admin and open /admin/trash → The page "Thùng rác" opens</t>
  </si>
  <si>
    <t xml:space="preserve">RBAC-05B</t>
  </si>
  <si>
    <t xml:space="preserve">Fitness Manager cannot open /admin/trash</t>
  </si>
  <si>
    <t xml:space="preserve">1. Sign in as Fitness Manager and open /admin/trash directly → "Bạn không có quyền xem trang này"</t>
  </si>
  <si>
    <t xml:space="preserve">RBAC-06A</t>
  </si>
  <si>
    <t xml:space="preserve">Admin can open /admin/audit</t>
  </si>
  <si>
    <t xml:space="preserve">History: audit.view, Admin only: Admin opens /admin/audit ("Lịch sử thao tác"); Fitness Manager sees "Bạn không có quyền xem trang này".</t>
  </si>
  <si>
    <t xml:space="preserve">1. Sign in as Admin and open /admin/audit → The page "Lịch sử thao tác" opens</t>
  </si>
  <si>
    <t xml:space="preserve">RBAC-06B</t>
  </si>
  <si>
    <t xml:space="preserve">Fitness Manager cannot open /admin/audit</t>
  </si>
  <si>
    <t xml:space="preserve">1. Sign in as Fitness Manager and open /admin/audit directly → "Bạn không có quyền xem trang này"</t>
  </si>
  <si>
    <t xml:space="preserve">RBAC-07A</t>
  </si>
  <si>
    <t xml:space="preserve">Admin can open /admin/system</t>
  </si>
  <si>
    <t xml:space="preserve">System status: Admin only: Admin opens /admin/system ("Tình trạng hệ thống"); Fitness Manager sees "Bạn không có quyền xem trang này".</t>
  </si>
  <si>
    <t xml:space="preserve">1. Sign in as Admin and open /admin/system → The page "Tình trạng hệ thống" opens</t>
  </si>
  <si>
    <t xml:space="preserve">RBAC-07B</t>
  </si>
  <si>
    <t xml:space="preserve">Fitness Manager cannot open /admin/system</t>
  </si>
  <si>
    <t xml:space="preserve">1. Sign in as Fitness Manager and open /admin/system directly → "Bạn không có quyền xem trang này"</t>
  </si>
  <si>
    <t xml:space="preserve">RBAC-08A</t>
  </si>
  <si>
    <t xml:space="preserve">Admin can open /admin/approvals</t>
  </si>
  <si>
    <t xml:space="preserve">Approval matrix: Admin only: Admin opens /admin/approvals ("Ma trận phê duyệt"); Fitness Manager sees "Bạn không có quyền xem trang này".</t>
  </si>
  <si>
    <t xml:space="preserve">1. Sign in as Admin and open /admin/approvals → The page "Ma trận phê duyệt" opens</t>
  </si>
  <si>
    <t xml:space="preserve">RBAC-08B</t>
  </si>
  <si>
    <t xml:space="preserve">Fitness Manager cannot open /admin/approvals</t>
  </si>
  <si>
    <t xml:space="preserve">1. Sign in as Fitness Manager and open /admin/approvals directly → "Bạn không có quyền xem trang này"</t>
  </si>
  <si>
    <t xml:space="preserve">RBAC-09A</t>
  </si>
  <si>
    <t xml:space="preserve">Admin can open /admin/email-templates</t>
  </si>
  <si>
    <t xml:space="preserve">Email templates: Admin only: Admin opens /admin/email-templates ("Mẫu email gửi khách"); Fitness Manager sees "Bạn không có quyền xem trang này".</t>
  </si>
  <si>
    <t xml:space="preserve">1. Sign in as Admin and open /admin/email-templates → The page "Mẫu email gửi khách" opens</t>
  </si>
  <si>
    <t xml:space="preserve">RBAC-09B</t>
  </si>
  <si>
    <t xml:space="preserve">Fitness Manager cannot open /admin/email-templates</t>
  </si>
  <si>
    <t xml:space="preserve">1. Sign in as Fitness Manager and open /admin/email-templates directly → "Bạn không có quyền xem trang này"</t>
  </si>
  <si>
    <t xml:space="preserve">RBAC-10A</t>
  </si>
  <si>
    <t xml:space="preserve">Admin can open /admin/intake</t>
  </si>
  <si>
    <t xml:space="preserve">Lead sources: Admin only: Admin opens /admin/intake ("Nguồn nhận lead"); Fitness Manager sees "Bạn không có quyền xem trang này".</t>
  </si>
  <si>
    <t xml:space="preserve">1. Sign in as Admin and open /admin/intake → The page "Nguồn nhận lead" opens</t>
  </si>
  <si>
    <t xml:space="preserve">RBAC-10B</t>
  </si>
  <si>
    <t xml:space="preserve">Fitness Manager cannot open /admin/intake</t>
  </si>
  <si>
    <t xml:space="preserve">1. Sign in as Fitness Manager and open /admin/intake directly → "Bạn không có quyền xem trang này"</t>
  </si>
  <si>
    <t xml:space="preserve">RBAC-11A</t>
  </si>
  <si>
    <t xml:space="preserve">Admin can open /admin/promotions</t>
  </si>
  <si>
    <t xml:space="preserve">Promotions: managed by Admin; reception has no page to manage them: Admin opens /admin/promotions ("Khuyến mãi và voucher"); Receptionist sees "Bạn không có quyền xem trang này".</t>
  </si>
  <si>
    <t xml:space="preserve">1. Sign in as Admin and open /admin/promotions → The page "Khuyến mãi và voucher" opens</t>
  </si>
  <si>
    <t xml:space="preserve">RBAC-11B</t>
  </si>
  <si>
    <t xml:space="preserve">Receptionist cannot open /admin/promotions</t>
  </si>
  <si>
    <t xml:space="preserve">Demo Receptionist account</t>
  </si>
  <si>
    <t xml:space="preserve">1. Sign in as Receptionist and open /admin/promotions directly → "Bạn không có quyền xem trang này"</t>
  </si>
  <si>
    <t xml:space="preserve">RBAC-12A</t>
  </si>
  <si>
    <t xml:space="preserve">Receptionist can open /admin/services</t>
  </si>
  <si>
    <t xml:space="preserve">Read services and price tiers: Admin, Fitness Manager, Consulting, Receptionist: Receptionist opens /admin/services ("Dịch vụ và bậc giá"); PT sees "Bạn không có quyền xem trang này".</t>
  </si>
  <si>
    <t xml:space="preserve">1. Sign in as Receptionist and open /admin/services → The page "Dịch vụ và bậc giá" opens</t>
  </si>
  <si>
    <t xml:space="preserve">RBAC-12B</t>
  </si>
  <si>
    <t xml:space="preserve">PT cannot open /admin/services</t>
  </si>
  <si>
    <t xml:space="preserve">Demo PT account</t>
  </si>
  <si>
    <t xml:space="preserve">1. Sign in as PT and open /admin/services directly → "Bạn không có quyền xem trang này"</t>
  </si>
  <si>
    <t xml:space="preserve">RBAC-13A</t>
  </si>
  <si>
    <t xml:space="preserve">Receptionist can open /leads</t>
  </si>
  <si>
    <t xml:space="preserve">Leads: view: Admin, Fitness Manager, Consulting (own), Receptionist: Receptionist opens /leads ("Lead"); PT sees "Bạn không có quyền xem trang này".</t>
  </si>
  <si>
    <t xml:space="preserve">1. Sign in as Receptionist and open /leads → The page "Lead" opens</t>
  </si>
  <si>
    <t xml:space="preserve">RBAC-13B</t>
  </si>
  <si>
    <t xml:space="preserve">PT cannot open /leads</t>
  </si>
  <si>
    <t xml:space="preserve">1. Sign in as PT and open /leads directly → "Bạn không có quyền xem trang này"</t>
  </si>
  <si>
    <t xml:space="preserve">RBAC-14A</t>
  </si>
  <si>
    <t xml:space="preserve">Fitness Manager can open /leads/audit</t>
  </si>
  <si>
    <t xml:space="preserve">Consulting audit: Admin, Fitness Manager: Fitness Manager opens /leads/audit ("Audit tư vấn"); Receptionist sees "Bạn không có quyền xem trang này".</t>
  </si>
  <si>
    <t xml:space="preserve">1. Sign in as Fitness Manager and open /leads/audit → The page "Audit tư vấn" opens</t>
  </si>
  <si>
    <t xml:space="preserve">RBAC-14B</t>
  </si>
  <si>
    <t xml:space="preserve">Receptionist cannot open /leads/audit</t>
  </si>
  <si>
    <t xml:space="preserve">1. Sign in as Receptionist and open /leads/audit directly → "Bạn không có quyền xem trang này"</t>
  </si>
  <si>
    <t xml:space="preserve">RBAC-15A</t>
  </si>
  <si>
    <t xml:space="preserve">Fitness Manager can open /leads/receivers</t>
  </si>
  <si>
    <t xml:space="preserve">Leads: reassign and receivers: Admin, Fitness Manager: Fitness Manager opens /leads/receivers ("Nhận lead"); Consulting sees "Bạn không có quyền xem trang này".</t>
  </si>
  <si>
    <t xml:space="preserve">1. Sign in as Fitness Manager and open /leads/receivers → The page "Nhận lead" opens</t>
  </si>
  <si>
    <t xml:space="preserve">RBAC-15B</t>
  </si>
  <si>
    <t xml:space="preserve">Consulting cannot open /leads/receivers</t>
  </si>
  <si>
    <t xml:space="preserve">Demo Consulting account</t>
  </si>
  <si>
    <t xml:space="preserve">1. Sign in as Consulting and open /leads/receivers directly → "Bạn không có quyền xem trang này"</t>
  </si>
  <si>
    <t xml:space="preserve">RBAC-16A</t>
  </si>
  <si>
    <t xml:space="preserve">PT can open /employees</t>
  </si>
  <si>
    <t xml:space="preserve">Employees and PT schedules: Admin, Fitness Manager, PT (own schedule): PT opens /employees ("Nhân viên"); Receptionist sees "Bạn không có quyền xem trang này".</t>
  </si>
  <si>
    <t xml:space="preserve">1. Sign in as PT and open /employees → The page "Nhân viên" opens</t>
  </si>
  <si>
    <t xml:space="preserve">RBAC-16B</t>
  </si>
  <si>
    <t xml:space="preserve">Receptionist cannot open /employees</t>
  </si>
  <si>
    <t xml:space="preserve">1. Sign in as Receptionist and open /employees directly → "Bạn không có quyền xem trang này"</t>
  </si>
  <si>
    <t xml:space="preserve">RBAC-17A</t>
  </si>
  <si>
    <t xml:space="preserve">Kế toán (custom role) can open /reports/pt-revenue</t>
  </si>
  <si>
    <t xml:space="preserve">PT revenue: Admin, Fitness Manager, Accountant: Kế toán (custom role) opens /reports/pt-revenue ("Doanh thu phân bổ PT"); Receptionist sees "Bạn không có quyền xem trang này".</t>
  </si>
  <si>
    <t xml:space="preserve">Demo Kế toán (custom role) account</t>
  </si>
  <si>
    <t xml:space="preserve">1. Sign in as Kế toán (custom role) and open /reports/pt-revenue → The page "Doanh thu phân bổ PT" opens</t>
  </si>
  <si>
    <t xml:space="preserve">RBAC-17B</t>
  </si>
  <si>
    <t xml:space="preserve">Receptionist cannot open /reports/pt-revenue</t>
  </si>
  <si>
    <t xml:space="preserve">1. Sign in as Receptionist and open /reports/pt-revenue directly → "Bạn không có quyền xem trang này"</t>
  </si>
  <si>
    <t xml:space="preserve">RBAC-18A</t>
  </si>
  <si>
    <t xml:space="preserve">Kế toán (custom role) can open /reports/pt-payouts</t>
  </si>
  <si>
    <t xml:space="preserve">PT payouts: Admin, Fitness Manager, Accountant: Kế toán (custom role) opens /reports/pt-payouts ("Chi trả PT"); Receptionist sees "Bạn không có quyền xem trang này".</t>
  </si>
  <si>
    <t xml:space="preserve">1. Sign in as Kế toán (custom role) and open /reports/pt-payouts → The page "Chi trả PT" opens</t>
  </si>
  <si>
    <t xml:space="preserve">RBAC-18B</t>
  </si>
  <si>
    <t xml:space="preserve">Receptionist cannot open /reports/pt-payouts</t>
  </si>
  <si>
    <t xml:space="preserve">1. Sign in as Receptionist and open /reports/pt-payouts directly → "Bạn không có quyền xem trang này"</t>
  </si>
  <si>
    <t xml:space="preserve">RBAC-19A</t>
  </si>
  <si>
    <t xml:space="preserve">Receptionist can open /reports/bookings</t>
  </si>
  <si>
    <t xml:space="preserve">Booking report: Admin, Fitness Manager, Receptionist: Receptionist opens /reports/bookings ("Báo cáo booking"); Consulting sees "Bạn không có quyền xem trang này".</t>
  </si>
  <si>
    <t xml:space="preserve">1. Sign in as Receptionist and open /reports/bookings → The page "Báo cáo booking" opens</t>
  </si>
  <si>
    <t xml:space="preserve">RBAC-19B</t>
  </si>
  <si>
    <t xml:space="preserve">Consulting cannot open /reports/bookings</t>
  </si>
  <si>
    <t xml:space="preserve">1. Sign in as Consulting and open /reports/bookings directly → "Bạn không có quyền xem trang này"</t>
  </si>
  <si>
    <t xml:space="preserve">RBAC-20A</t>
  </si>
  <si>
    <t xml:space="preserve">Fitness Manager can open /reports/tasks</t>
  </si>
  <si>
    <t xml:space="preserve">Tasks report: Admin, Fitness Manager: Fitness Manager opens /reports/tasks ("Giao việc"); Receptionist sees "Bạn không có quyền xem trang này".</t>
  </si>
  <si>
    <t xml:space="preserve">1. Sign in as Fitness Manager and open /reports/tasks → The page "Giao việc" opens</t>
  </si>
  <si>
    <t xml:space="preserve">RBAC-20B</t>
  </si>
  <si>
    <t xml:space="preserve">Receptionist cannot open /reports/tasks</t>
  </si>
  <si>
    <t xml:space="preserve">1. Sign in as Receptionist and open /reports/tasks directly → "Bạn không có quyền xem trang này"</t>
  </si>
  <si>
    <t xml:space="preserve">RBAC-21A</t>
  </si>
  <si>
    <t xml:space="preserve">Fitness Manager can open /reports/workouts</t>
  </si>
  <si>
    <t xml:space="preserve">Workout dashboard: Admin, Fitness Manager, Master: Fitness Manager opens /reports/workouts ("Dashboard giáo án theo tuần"); PT sees "Bạn không có quyền xem trang này".</t>
  </si>
  <si>
    <t xml:space="preserve">1. Sign in as Fitness Manager and open /reports/workouts → The page "Dashboard giáo án theo tuần" opens</t>
  </si>
  <si>
    <t xml:space="preserve">RBAC-21B</t>
  </si>
  <si>
    <t xml:space="preserve">PT cannot open /reports/workouts</t>
  </si>
  <si>
    <t xml:space="preserve">1. Sign in as PT and open /reports/workouts directly → "Bạn không có quyền xem trang này"</t>
  </si>
  <si>
    <t xml:space="preserve">RBAC-22A</t>
  </si>
  <si>
    <t xml:space="preserve">Fitness Manager can open /reports/lead-analysis</t>
  </si>
  <si>
    <t xml:space="preserve">Lead analysis: refused to a consultant (A-093): Fitness Manager opens /reports/lead-analysis ("Phân tích lead"); Consulting sees "Bạn không có quyền xem trang này".</t>
  </si>
  <si>
    <t xml:space="preserve">1. Sign in as Fitness Manager and open /reports/lead-analysis → The page "Phân tích lead" opens</t>
  </si>
  <si>
    <t xml:space="preserve">RBAC-22B</t>
  </si>
  <si>
    <t xml:space="preserve">Consulting cannot open /reports/lead-analysis</t>
  </si>
  <si>
    <t xml:space="preserve">1. Sign in as Consulting and open /reports/lead-analysis directly → "Bạn không có quyền xem trang này"</t>
  </si>
  <si>
    <t xml:space="preserve">RBAC-23A</t>
  </si>
  <si>
    <t xml:space="preserve">Consulting can open /reports/consulting</t>
  </si>
  <si>
    <t xml:space="preserve">Consulting dashboard: a consultant sees their own; a receptionist does not (A-093): Consulting opens /reports/consulting ("Dashboard tư vấn"); Receptionist sees "Bạn không có quyền xem trang này".</t>
  </si>
  <si>
    <t xml:space="preserve">1. Sign in as Consulting and open /reports/consulting → The page "Dashboard tư vấn" opens</t>
  </si>
  <si>
    <t xml:space="preserve">RBAC-23B</t>
  </si>
  <si>
    <t xml:space="preserve">Receptionist cannot open /reports/consulting</t>
  </si>
  <si>
    <t xml:space="preserve">1. Sign in as Receptionist and open /reports/consulting directly → "Bạn không có quyền xem trang này"</t>
  </si>
  <si>
    <t xml:space="preserve">RBAC-24A</t>
  </si>
  <si>
    <t xml:space="preserve">Kế toán (custom role) can open /reports/cash-book</t>
  </si>
  <si>
    <t xml:space="preserve">Cash book report: refused to a receptionist: Kế toán (custom role) opens /reports/cash-book ("Sổ quỹ"); Receptionist sees "Bạn không có quyền xem trang này".</t>
  </si>
  <si>
    <t xml:space="preserve">1. Sign in as Kế toán (custom role) and open /reports/cash-book → The page "Sổ quỹ" opens</t>
  </si>
  <si>
    <t xml:space="preserve">RBAC-24B</t>
  </si>
  <si>
    <t xml:space="preserve">Receptionist cannot open /reports/cash-book</t>
  </si>
  <si>
    <t xml:space="preserve">1. Sign in as Receptionist and open /reports/cash-book directly → "Bạn không có quyền xem trang này"</t>
  </si>
  <si>
    <t xml:space="preserve">RBAC-25A</t>
  </si>
  <si>
    <t xml:space="preserve">Kế toán (custom role) can open /finance/cash</t>
  </si>
  <si>
    <t xml:space="preserve">Income and expenses: not for a receptionist: Kế toán (custom role) opens /finance/cash ("Tài chính"); Receptionist sees "Bạn không có quyền xem trang này".</t>
  </si>
  <si>
    <t xml:space="preserve">1. Sign in as Kế toán (custom role) and open /finance/cash → The page "Tài chính" opens</t>
  </si>
  <si>
    <t xml:space="preserve">RBAC-25B</t>
  </si>
  <si>
    <t xml:space="preserve">Receptionist cannot open /finance/cash</t>
  </si>
  <si>
    <t xml:space="preserve">1. Sign in as Receptionist and open /finance/cash directly → "Bạn không có quyền xem trang này"</t>
  </si>
  <si>
    <t xml:space="preserve">RBAC-26A</t>
  </si>
  <si>
    <t xml:space="preserve">Consulting can open /finance/payments</t>
  </si>
  <si>
    <t xml:space="preserve">Receipts: Admin, Fitness Manager, Consulting, Receptionist: Consulting opens /finance/payments ("Tài chính"); PT sees "Bạn không có quyền xem trang này".</t>
  </si>
  <si>
    <t xml:space="preserve">1. Sign in as Consulting and open /finance/payments → The page "Tài chính" opens</t>
  </si>
  <si>
    <t xml:space="preserve">RBAC-26B</t>
  </si>
  <si>
    <t xml:space="preserve">PT cannot open /finance/payments</t>
  </si>
  <si>
    <t xml:space="preserve">1. Sign in as PT and open /finance/payments directly → "Bạn không có quyền xem trang này"</t>
  </si>
  <si>
    <t xml:space="preserve">RBAC-27A</t>
  </si>
  <si>
    <t xml:space="preserve">PT can open /workouts/plans</t>
  </si>
  <si>
    <t xml:space="preserve">Workout plans: Admin, Fitness Manager, Master, PT (own): PT opens /workouts/plans ("Giáo án của khách"); Receptionist sees "Bạn không có quyền xem trang này".</t>
  </si>
  <si>
    <t xml:space="preserve">1. Sign in as PT and open /workouts/plans → The page "Giáo án của khách" opens</t>
  </si>
  <si>
    <t xml:space="preserve">RBAC-27B</t>
  </si>
  <si>
    <t xml:space="preserve">Receptionist cannot open /workouts/plans</t>
  </si>
  <si>
    <t xml:space="preserve">1. Sign in as Receptionist and open /workouts/plans directly → "Bạn không có quyền xem trang này"</t>
  </si>
  <si>
    <t xml:space="preserve">RBAC-28A</t>
  </si>
  <si>
    <t xml:space="preserve">PT can open /admin/workout-catalog</t>
  </si>
  <si>
    <t xml:space="preserve">Workout catalogs: read with workout.view: PT opens /admin/workout-catalog ("Danh mục giáo án"); Consulting sees "Bạn không có quyền xem trang này".</t>
  </si>
  <si>
    <t xml:space="preserve">1. Sign in as PT and open /admin/workout-catalog → The page "Danh mục giáo án" opens</t>
  </si>
  <si>
    <t xml:space="preserve">RBAC-28B</t>
  </si>
  <si>
    <t xml:space="preserve">Consulting cannot open /admin/workout-catalog</t>
  </si>
  <si>
    <t xml:space="preserve">1. Sign in as Consulting and open /admin/workout-catalog directly → "Bạn không có quyền xem trang này"</t>
  </si>
  <si>
    <t xml:space="preserve">RBAC-29A</t>
  </si>
  <si>
    <t xml:space="preserve">PT can open /calendar</t>
  </si>
  <si>
    <t xml:space="preserve">PT schedule: Admin, Fitness Manager, PT (own), Receptionist: PT opens /calendar ("Lịch PT"); Consulting sees "Bạn không có quyền xem trang này".</t>
  </si>
  <si>
    <t xml:space="preserve">1. Sign in as PT and open /calendar → The page "Lịch PT" opens</t>
  </si>
  <si>
    <t xml:space="preserve">RBAC-29B</t>
  </si>
  <si>
    <t xml:space="preserve">Consulting cannot open /calendar</t>
  </si>
  <si>
    <t xml:space="preserve">1. Sign in as Consulting and open /calendar directly → "Bạn không có quyền xem trang này"</t>
  </si>
  <si>
    <t xml:space="preserve">RBAC-30A</t>
  </si>
  <si>
    <t xml:space="preserve">Receptionist can open /classes</t>
  </si>
  <si>
    <t xml:space="preserve">Classes: everyone who has booking.view: Receptionist opens /classes ("Lịch lớp"); Consulting sees "Bạn không có quyền xem trang này".</t>
  </si>
  <si>
    <t xml:space="preserve">1. Sign in as Receptionist and open /classes → The page "Lịch lớp" opens</t>
  </si>
  <si>
    <t xml:space="preserve">RBAC-30B</t>
  </si>
  <si>
    <t xml:space="preserve">Consulting cannot open /classes</t>
  </si>
  <si>
    <t xml:space="preserve">1. Sign in as Consulting and open /classes directly → "Bạn không có quyền xem trang này"</t>
  </si>
  <si>
    <t xml:space="preserve">RBAC-M1</t>
  </si>
  <si>
    <t xml:space="preserve">A trainer has no Finance menu entry</t>
  </si>
  <si>
    <t xml:space="preserve">An account without permission for a module does not see its menu: a PT has no "Tài chính" entry.</t>
  </si>
  <si>
    <t xml:space="preserve">1. Sign in as the PT → The menu has "Công việc" but no "Tài chính"</t>
  </si>
  <si>
    <t xml:space="preserve">RBAC-M2</t>
  </si>
  <si>
    <t xml:space="preserve">A manager has the Finance menu entry</t>
  </si>
  <si>
    <t xml:space="preserve">A Fitness Manager, who has finance permissions, sees the menu entry "Tài chính".</t>
  </si>
  <si>
    <t xml:space="preserve">1. Sign in as the manager → The menu has "Tài chính"</t>
  </si>
  <si>
    <t xml:space="preserve">RBAC-M3</t>
  </si>
  <si>
    <t xml:space="preserve">A receptionist sees services but cannot add one</t>
  </si>
  <si>
    <t xml:space="preserve">Reception reads services and prices but has no "Thêm dịch vụ" button.</t>
  </si>
  <si>
    <t xml:space="preserve">Demo receptionist account</t>
  </si>
  <si>
    <t xml:space="preserve">1. Open Services as the receptionist → The list shows; there is no "Thêm dịch vụ"</t>
  </si>
  <si>
    <t xml:space="preserve">RBAC-M4</t>
  </si>
  <si>
    <t xml:space="preserve">An admin can add a service</t>
  </si>
  <si>
    <t xml:space="preserve">An Admin sees the "Thêm dịch vụ" action on Services.</t>
  </si>
  <si>
    <t xml:space="preserve">Admin account</t>
  </si>
  <si>
    <t xml:space="preserve">1. Open Services as Admin → "Thêm dịch vụ" is offered</t>
  </si>
  <si>
    <t xml:space="preserve">RBAC-M5</t>
  </si>
  <si>
    <t xml:space="preserve">A consultant sees only their own leads and customers</t>
  </si>
  <si>
    <t xml:space="preserve">BR-101</t>
  </si>
  <si>
    <t xml:space="preserve">Data scope "own": a consultant sees leads added by them or in their charge; another consultant's lead says who has it, with no way in.</t>
  </si>
  <si>
    <t xml:space="preserve">Two consultants, each with a lead</t>
  </si>
  <si>
    <t xml:space="preserve">1. Sign in as consultant A; open the lead list → Only A's leads
2. Open consultant B's lead by URL → Shows who has it, with no way in</t>
  </si>
  <si>
    <t xml:space="preserve">Needs data the demo seed does not have; prepared by hand or by an API fixture first.</t>
  </si>
  <si>
    <t xml:space="preserve">RBAC-M6</t>
  </si>
  <si>
    <t xml:space="preserve">A role with phone numbers hidden never sees them, on screen or in exports</t>
  </si>
  <si>
    <t xml:space="preserve">A role with phone numbers hidden never sees them on any screen or export.</t>
  </si>
  <si>
    <t xml:space="preserve">A role with the customer phone field hidden (e.g. Marketing)</t>
  </si>
  <si>
    <t xml:space="preserve">1. Open customers and a customer as that role → No phone numbers
2. Export the list → The file has no phone column</t>
  </si>
  <si>
    <t xml:space="preserve">RBAC-M7</t>
  </si>
  <si>
    <t xml:space="preserve">A per-user override switches one permission off</t>
  </si>
  <si>
    <t xml:space="preserve">FR-PLT-003</t>
  </si>
  <si>
    <t xml:space="preserve">Admin switches individual permissions on or off per user; the change applies immediately.</t>
  </si>
  <si>
    <t xml:space="preserve">Admin and a receptionist</t>
  </si>
  <si>
    <t xml:space="preserve">1. Admin removes payment.view from the receptionist → The receptionist's /finance/payments is refused at the next page load</t>
  </si>
  <si>
    <t xml:space="preserve">RBAC-M8</t>
  </si>
  <si>
    <t xml:space="preserve">A user sees only the branches granted to them</t>
  </si>
  <si>
    <t xml:space="preserve">Every business record belongs to a branch; a user sees and acts only in the branches granted to them.</t>
  </si>
  <si>
    <t xml:space="preserve">Two branches with data; a user granted one</t>
  </si>
  <si>
    <t xml:space="preserve">1. Open lists as that user → Only the granted branch's records</t>
  </si>
  <si>
    <t xml:space="preserve">LEAD-01</t>
  </si>
  <si>
    <t xml:space="preserve">A lead is saved with only a name and a channel</t>
  </si>
  <si>
    <t xml:space="preserve">AC-25</t>
  </si>
  <si>
    <t xml:space="preserve">A lead needs only a name and a channel: name "QA LEAD-01" and channel "Zalo" save and open the new lead.</t>
  </si>
  <si>
    <t xml:space="preserve">1. Leads &gt; "Thêm lead": name and channel Zalo only; save → The new lead page opens with its name</t>
  </si>
  <si>
    <t xml:space="preserve">LEAD-02</t>
  </si>
  <si>
    <t xml:space="preserve">An empty name is refused</t>
  </si>
  <si>
    <t xml:space="preserve">Saving a lead with a channel but no name shows "Bắt buộc nhập." and saves nothing.</t>
  </si>
  <si>
    <t xml:space="preserve">1. Choose channel Zalo, leave the name empty; save → "Bắt buộc nhập."; the dialog stays open</t>
  </si>
  <si>
    <t xml:space="preserve">LEAD-03</t>
  </si>
  <si>
    <t xml:space="preserve">A name of spaces only is refused</t>
  </si>
  <si>
    <t xml:space="preserve">A lead name of spaces only counts as empty: "Bắt buộc nhập."</t>
  </si>
  <si>
    <t xml:space="preserve">1. Name "   ", channel Zalo; save → "Bắt buộc nhập."</t>
  </si>
  <si>
    <t xml:space="preserve">LEAD-04</t>
  </si>
  <si>
    <t xml:space="preserve">A one-character name is accepted (minimum)</t>
  </si>
  <si>
    <t xml:space="preserve">A lead name of 1 character is accepted (the name is 1 to 150 characters).</t>
  </si>
  <si>
    <t xml:space="preserve">1. Name "Q", channel Zalo; save → The lead "Q" is saved and opens</t>
  </si>
  <si>
    <t xml:space="preserve">LEAD-05</t>
  </si>
  <si>
    <t xml:space="preserve">A 150-character name is accepted (maximum)</t>
  </si>
  <si>
    <t xml:space="preserve">A lead name of 150 characters is accepted; 151 is "Quá dài."</t>
  </si>
  <si>
    <t xml:space="preserve">1. Name of 150 characters, channel Zalo; save → Saved; no "Quá dài."</t>
  </si>
  <si>
    <t xml:space="preserve">LEAD-06</t>
  </si>
  <si>
    <t xml:space="preserve">A 151-character name is too long (maximum + 1)</t>
  </si>
  <si>
    <t xml:space="preserve">A lead name of 151 characters is refused with "Quá dài."</t>
  </si>
  <si>
    <t xml:space="preserve">1. Name of 151 characters, channel Zalo; save → "Quá dài."; nothing saved</t>
  </si>
  <si>
    <t xml:space="preserve">LEAD-07</t>
  </si>
  <si>
    <t xml:space="preserve">A lead without a channel is refused</t>
  </si>
  <si>
    <t xml:space="preserve">A lead needs a channel: saving with a name but no channel shows "Bắt buộc nhập." under the channel.</t>
  </si>
  <si>
    <t xml:space="preserve">1. Name only; save → "Bắt buộc nhập." under Kênh liên hệ</t>
  </si>
  <si>
    <t xml:space="preserve">LEAD-08</t>
  </si>
  <si>
    <t xml:space="preserve">A 7-digit phone is refused (minimum − 1)</t>
  </si>
  <si>
    <t xml:space="preserve">BR-202</t>
  </si>
  <si>
    <t xml:space="preserve">A lead phone has 8 to 15 digits: 7 digits show "Số điện thoại không hợp lệ."</t>
  </si>
  <si>
    <t xml:space="preserve">1. Phone 0912345, channel Zalo; save → "Số điện thoại không hợp lệ."</t>
  </si>
  <si>
    <t xml:space="preserve">LEAD-09</t>
  </si>
  <si>
    <t xml:space="preserve">An 8-digit phone is accepted (minimum)</t>
  </si>
  <si>
    <t xml:space="preserve">A lead phone of 8 digits is accepted.</t>
  </si>
  <si>
    <t xml:space="preserve">1. Phone 09123456; save without a channel → No phone error</t>
  </si>
  <si>
    <t xml:space="preserve">LEAD-10</t>
  </si>
  <si>
    <t xml:space="preserve">A 15-digit phone is accepted (maximum)</t>
  </si>
  <si>
    <t xml:space="preserve">A lead phone of 15 digits is accepted.</t>
  </si>
  <si>
    <t xml:space="preserve">1. Phone 091234567890123; save without a channel → No phone error</t>
  </si>
  <si>
    <t xml:space="preserve">LEAD-11</t>
  </si>
  <si>
    <t xml:space="preserve">A 16-digit phone is refused (maximum + 1)</t>
  </si>
  <si>
    <t xml:space="preserve">A lead phone of 16 digits shows "Số điện thoại không hợp lệ."</t>
  </si>
  <si>
    <t xml:space="preserve">1. Phone 0912345678901234; save → "Số điện thoại không hợp lệ."</t>
  </si>
  <si>
    <t xml:space="preserve">LEAD-12</t>
  </si>
  <si>
    <t xml:space="preserve">A phone with letters is refused</t>
  </si>
  <si>
    <t xml:space="preserve">A lead phone containing letters shows "Số điện thoại không hợp lệ."</t>
  </si>
  <si>
    <t xml:space="preserve">1. Phone 09abc45678; save → "Số điện thoại không hợp lệ."</t>
  </si>
  <si>
    <t xml:space="preserve">LEAD-13</t>
  </si>
  <si>
    <t xml:space="preserve">A phone typed with spaces is accepted</t>
  </si>
  <si>
    <t xml:space="preserve">A lead phone typed with spaces, e.g. "0912 345 678", is normalized and accepted.</t>
  </si>
  <si>
    <t xml:space="preserve">1. Phone "0912 345 678"; save without a channel → No phone error</t>
  </si>
  <si>
    <t xml:space="preserve">LEAD-14</t>
  </si>
  <si>
    <t xml:space="preserve">An international phone with + is accepted</t>
  </si>
  <si>
    <t xml:space="preserve">A lead phone in international form "+84912345678" is accepted.</t>
  </si>
  <si>
    <t xml:space="preserve">1. Phone +84912345678; save without a channel → No phone error</t>
  </si>
  <si>
    <t xml:space="preserve">LEAD-15</t>
  </si>
  <si>
    <t xml:space="preserve">"Khác" without a note cannot be saved</t>
  </si>
  <si>
    <t xml:space="preserve">AC-04</t>
  </si>
  <si>
    <t xml:space="preserve">Choosing "Khác" in any drop-down cannot be saved without a note.</t>
  </si>
  <si>
    <t xml:space="preserve">1. Channel "Khác", note empty; save → "Đã chọn "Khác" thì phải ghi rõ."; nothing saved</t>
  </si>
  <si>
    <t xml:space="preserve">LEAD-16</t>
  </si>
  <si>
    <t xml:space="preserve">"Khác" with a note is saved</t>
  </si>
  <si>
    <t xml:space="preserve">Choosing "Khác" with a note in "Ghi rõ" saves the lead.</t>
  </si>
  <si>
    <t xml:space="preserve">1. Channel "Khác", note "Fanpage cũ"; save → The new lead opens</t>
  </si>
  <si>
    <t xml:space="preserve">LEAD-17</t>
  </si>
  <si>
    <t xml:space="preserve">Another channel needs no note</t>
  </si>
  <si>
    <t xml:space="preserve">A channel other than "Khác" shows no "Ghi rõ" field and saves without a note.</t>
  </si>
  <si>
    <t xml:space="preserve">1. Channel Zalo; look for "Ghi rõ" → No "Ghi rõ" field
2. Save → Saved</t>
  </si>
  <si>
    <t xml:space="preserve">LEAD-18</t>
  </si>
  <si>
    <t xml:space="preserve">A phone of an existing customer offers a merge</t>
  </si>
  <si>
    <t xml:space="preserve">A new lead with a customer's phone (0909123456, KH000001 Nguyễn Văn An) opens "Số điện thoại đã có hồ sơ" naming that record and offering "Gộp vào hồ sơ này".</t>
  </si>
  <si>
    <t xml:space="preserve">Customer KH000001 Nguyễn Văn An, phone 0909123456</t>
  </si>
  <si>
    <t xml:space="preserve">1. Add a lead with phone 0909123456; save → The duplicate dialog names KH000001 · Nguyễn Văn An and offers the merge</t>
  </si>
  <si>
    <t xml:space="preserve">LEAD-19</t>
  </si>
  <si>
    <t xml:space="preserve">A phone of an existing lead offers a merge</t>
  </si>
  <si>
    <t xml:space="preserve">A new lead with another lead's phone (0901234508, Tạ Thu Uyên) opens "Số điện thoại đã có hồ sơ" naming that lead.</t>
  </si>
  <si>
    <t xml:space="preserve">Lead Tạ Thu Uyên, phone 0901234508</t>
  </si>
  <si>
    <t xml:space="preserve">1. Add a lead with phone 0901234508; save → The duplicate dialog names Tạ Thu Uyên</t>
  </si>
  <si>
    <t xml:space="preserve">LEAD-20</t>
  </si>
  <si>
    <t xml:space="preserve">"Quay lại sửa" returns to the form with the values kept</t>
  </si>
  <si>
    <t xml:space="preserve">In the duplicate dialog, "Quay lại sửa" closes it and keeps the lead form open for editing.</t>
  </si>
  <si>
    <t xml:space="preserve">1. Trigger the duplicate dialog; choose "Quay lại sửa" → The dialog closes; "Thêm lead" is still open</t>
  </si>
  <si>
    <t xml:space="preserve">LEAD-21</t>
  </si>
  <si>
    <t xml:space="preserve">"Gộp vào hồ sơ này" adds the inquiry to the existing record and creates none</t>
  </si>
  <si>
    <t xml:space="preserve">Merging adds the new inquiry (channel, source, need, note) to the existing record and leaves one record.</t>
  </si>
  <si>
    <t xml:space="preserve">1. Trigger the duplicate dialog; choose the merge → The existing record's timeline shows the inquiry
2. Count records with that phone → Still one</t>
  </si>
  <si>
    <t xml:space="preserve">Changes shared business data (money, merges, deletions); kept manual until a scoped approval and cleanup exist for it.</t>
  </si>
  <si>
    <t xml:space="preserve">LEAD-22</t>
  </si>
  <si>
    <t xml:space="preserve">A manager merges two existing records of one person</t>
  </si>
  <si>
    <t xml:space="preserve">FR-LEAD-009</t>
  </si>
  <si>
    <t xml:space="preserve">A manager merges two records of one person; one record remains with both histories.</t>
  </si>
  <si>
    <t xml:space="preserve">1. Merge two leads of the same person → One record with both histories
2. Try merging two customers → "Chưa thể gộp hai hồ sơ khách hàng."</t>
  </si>
  <si>
    <t xml:space="preserve">LEAD-23</t>
  </si>
  <si>
    <t xml:space="preserve">Search by phone finds only the matching lead</t>
  </si>
  <si>
    <t xml:space="preserve">FR-LEAD-006</t>
  </si>
  <si>
    <t xml:space="preserve">Searching leads for 0901234508 lists "Tạ Thu Uyên" and not "Kiều Quốc Việt".</t>
  </si>
  <si>
    <t xml:space="preserve">1. Search 0901234508 → Only Tạ Thu Uyên</t>
  </si>
  <si>
    <t xml:space="preserve">LEAD-24</t>
  </si>
  <si>
    <t xml:space="preserve">Search by name finds the lead</t>
  </si>
  <si>
    <t xml:space="preserve">Searching leads for "Kiều Quốc Việt" lists that lead.</t>
  </si>
  <si>
    <t xml:space="preserve">1. Search "Kiều Quốc Việt" → Kiều Quốc Việt is listed</t>
  </si>
  <si>
    <t xml:space="preserve">LEAD-25</t>
  </si>
  <si>
    <t xml:space="preserve">A search with no match says so</t>
  </si>
  <si>
    <t xml:space="preserve">A lead search with no match shows "Không tìm thấy lead".</t>
  </si>
  <si>
    <t xml:space="preserve">1. Search "zz-no-such-lead" → "Không tìm thấy lead"</t>
  </si>
  <si>
    <t xml:space="preserve">LEAD-26</t>
  </si>
  <si>
    <t xml:space="preserve">A search that looks like SQL is treated as text</t>
  </si>
  <si>
    <t xml:space="preserve">Searching for "' OR 1=1 --" is treated as plain text and shows "Không tìm thấy lead".</t>
  </si>
  <si>
    <t xml:space="preserve">1. Search "' OR 1=1 --" → "Không tìm thấy lead"; no error page</t>
  </si>
  <si>
    <t xml:space="preserve">LEAD-27</t>
  </si>
  <si>
    <t xml:space="preserve">A name with HTML is shown as text</t>
  </si>
  <si>
    <t xml:space="preserve">FR-LEAD-002</t>
  </si>
  <si>
    <t xml:space="preserve">A lead named "&lt;b&gt;QA LEAD-27&lt;/b&gt;" is shown with the literal text, not as markup.</t>
  </si>
  <si>
    <t xml:space="preserve">1. Save a lead named "&lt;b&gt;QA LEAD-27&lt;/b&gt;" → The heading shows the angle brackets as typed</t>
  </si>
  <si>
    <t xml:space="preserve">LEAD-28</t>
  </si>
  <si>
    <t xml:space="preserve">A name with control characters is refused</t>
  </si>
  <si>
    <t xml:space="preserve">A lead name with control characters shows "Có ký tự không hợp lệ."</t>
  </si>
  <si>
    <t xml:space="preserve">1. Paste a name containing a control character; save → "Có ký tự không hợp lệ."</t>
  </si>
  <si>
    <t xml:space="preserve">Needs human judgement (layout, phone usability, wording).</t>
  </si>
  <si>
    <t xml:space="preserve">LEAD-29</t>
  </si>
  <si>
    <t xml:space="preserve">Double-clicking Save creates one lead</t>
  </si>
  <si>
    <t xml:space="preserve">FR-LEAD-001</t>
  </si>
  <si>
    <t xml:space="preserve">Submitting the quick form twice quickly creates one lead.</t>
  </si>
  <si>
    <t xml:space="preserve">1. Double-click "Lưu" → One new lead</t>
  </si>
  <si>
    <t xml:space="preserve">Needs two simultaneous requests; the executor runs one browser session at a time.</t>
  </si>
  <si>
    <t xml:space="preserve">LEAD-30</t>
  </si>
  <si>
    <t xml:space="preserve">The Kanban board has a column per status</t>
  </si>
  <si>
    <t xml:space="preserve">The lead Kanban board shows the columns "Mới", "Đang tư vấn" and "Từ chối".</t>
  </si>
  <si>
    <t xml:space="preserve">1. Leads &gt; Kanban → Columns Mới, Đang tư vấn, Từ chối, …</t>
  </si>
  <si>
    <t xml:space="preserve">LEAD-31</t>
  </si>
  <si>
    <t xml:space="preserve">A new lead is assigned to a consultant</t>
  </si>
  <si>
    <t xml:space="preserve">BR-203</t>
  </si>
  <si>
    <t xml:space="preserve">A new lead is assigned to an active consultant of the branch ("Người phụ trách" is set, not "Chưa phân công").</t>
  </si>
  <si>
    <t xml:space="preserve">1. Save a new lead → Its page shows a consultant in charge</t>
  </si>
  <si>
    <t xml:space="preserve">LEAD-32</t>
  </si>
  <si>
    <t xml:space="preserve">Leads are shared by turn weight among receiving consultants</t>
  </si>
  <si>
    <t xml:space="preserve">AC-26</t>
  </si>
  <si>
    <t xml:space="preserve">Leads are shared by turn weight; each move is in the history.</t>
  </si>
  <si>
    <t xml:space="preserve">A branch with two receiving consultants, weights 2 and 1</t>
  </si>
  <si>
    <t xml:space="preserve">1. Add three leads → Shared 2:1 in turn order; history shows each assignment</t>
  </si>
  <si>
    <t xml:space="preserve">LEAD-33</t>
  </si>
  <si>
    <t xml:space="preserve">An untouched lead moves on after 1 working hour, never outside 08:30–20:30</t>
  </si>
  <si>
    <t xml:space="preserve">A lead not taken care of after 1 working hour moves on, never outside 08:30–20:30.</t>
  </si>
  <si>
    <t xml:space="preserve">1. Leave a lead untouched 59 working minutes → Not moved
2. 60 working minutes → Moved to the next consultant
3. At 20:29 leave it → Clock pauses until 08:30</t>
  </si>
  <si>
    <t xml:space="preserve">LEAD-34</t>
  </si>
  <si>
    <t xml:space="preserve">Only the moves allowed from the current status are offered</t>
  </si>
  <si>
    <t xml:space="preserve">BR-204</t>
  </si>
  <si>
    <t xml:space="preserve">From "Mới" only the allowed moves are offered; each move is recorded.</t>
  </si>
  <si>
    <t xml:space="preserve">1. Open a "Mới" lead &gt; "Đổi trạng thái" → Only the allowed next statuses
2. Move to "Đang tư vấn" → Recorded in the history</t>
  </si>
  <si>
    <t xml:space="preserve">LEAD-35</t>
  </si>
  <si>
    <t xml:space="preserve">Refused needs a reason and sends the lead to re-care in 15 days</t>
  </si>
  <si>
    <t xml:space="preserve">Refused requires a reason; the lead enters re-care with a contact-again date 15 days later and is never closed.</t>
  </si>
  <si>
    <t xml:space="preserve">1. Set "Từ chối" without a reason → Refused
2. With a reason → In re-care, contact-again date today + 15</t>
  </si>
  <si>
    <t xml:space="preserve">Expected values depend on today's date; needs date-relative inputs and assertions in the executor.</t>
  </si>
  <si>
    <t xml:space="preserve">LEAD-36</t>
  </si>
  <si>
    <t xml:space="preserve">No response and No show also go to re-care</t>
  </si>
  <si>
    <t xml:space="preserve">No response and No show leads enter the re-care queue with a contact-again date.</t>
  </si>
  <si>
    <t xml:space="preserve">1. Set "Chưa phản hồi" → In re-care
2. Set "No show" → In re-care</t>
  </si>
  <si>
    <t xml:space="preserve">LEAD-37</t>
  </si>
  <si>
    <t xml:space="preserve">Converting at Show needs ID document, birth date, nationality and email</t>
  </si>
  <si>
    <t xml:space="preserve">BR-206</t>
  </si>
  <si>
    <t xml:space="preserve">Converting to a customer requires ID card or passport, birth date, nationality and email; the record keeps its ID.</t>
  </si>
  <si>
    <t xml:space="preserve">1. Show with each field missing in turn → Conversion refused, naming the missing field
2. All present → Converted; same record ID</t>
  </si>
  <si>
    <t xml:space="preserve">LEAD-38</t>
  </si>
  <si>
    <t xml:space="preserve">A ticked checklist step cannot be unticked except by Admin with a reason</t>
  </si>
  <si>
    <t xml:space="preserve">AC-27</t>
  </si>
  <si>
    <t xml:space="preserve">A ticked checklist step cannot be unticked; Admin removes a tick with a reason.</t>
  </si>
  <si>
    <t xml:space="preserve">1. Consultant: tick a step, try to untick → No way to untick
2. Admin removes it with a reason → The step opens again</t>
  </si>
  <si>
    <t xml:space="preserve">LEAD-39</t>
  </si>
  <si>
    <t xml:space="preserve">An overdue step locks after its grace period</t>
  </si>
  <si>
    <t xml:space="preserve">An overdue step past its grace period locks as "Không thực hiện" and cannot be ticked late.</t>
  </si>
  <si>
    <t xml:space="preserve">1. Tick just inside the grace period → Ticked, marked late
2. After the grace period → Locked "Không thực hiện"</t>
  </si>
  <si>
    <t xml:space="preserve">LEAD-40</t>
  </si>
  <si>
    <t xml:space="preserve">Reminder steps are created at the right times</t>
  </si>
  <si>
    <t xml:space="preserve">AC-07</t>
  </si>
  <si>
    <t xml:space="preserve">Reminder steps at 60 minutes, 24 hours, 3 hours and 60 minutes before the visit, and 15 days are created at the right time.</t>
  </si>
  <si>
    <t xml:space="preserve">1. Book an appointment → Each reminder step exists with its due time</t>
  </si>
  <si>
    <t xml:space="preserve">LEAD-41</t>
  </si>
  <si>
    <t xml:space="preserve">"Today's tasks" lists due and overdue steps</t>
  </si>
  <si>
    <t xml:space="preserve">FR-LEAD-005</t>
  </si>
  <si>
    <t xml:space="preserve">"Today's tasks" per consultant shows due and overdue steps.</t>
  </si>
  <si>
    <t xml:space="preserve">1. Open "Việc hôm nay" as a consultant → Due and overdue steps, overdue highlighted</t>
  </si>
  <si>
    <t xml:space="preserve">LEAD-42</t>
  </si>
  <si>
    <t xml:space="preserve">A manager reassigns a lead</t>
  </si>
  <si>
    <t xml:space="preserve">Managers may reassign a lead; the move is in the history and both consultants are told.</t>
  </si>
  <si>
    <t xml:space="preserve">1. Reassign a lead → New person in charge; history and notifications</t>
  </si>
  <si>
    <t xml:space="preserve">LEAD-43</t>
  </si>
  <si>
    <t xml:space="preserve">The script library answers in Vietnamese and English with copy</t>
  </si>
  <si>
    <t xml:space="preserve">FR-LEAD-010</t>
  </si>
  <si>
    <t xml:space="preserve">Script library: situations with Vietnamese and English answers and a copy button, managed by managers.</t>
  </si>
  <si>
    <t xml:space="preserve">1. Open a script; copy the English answer → Copied text matches</t>
  </si>
  <si>
    <t xml:space="preserve">CUS-01</t>
  </si>
  <si>
    <t xml:space="preserve">Customers</t>
  </si>
  <si>
    <t xml:space="preserve">Customer standing "Đang tập" (a contract running)</t>
  </si>
  <si>
    <t xml:space="preserve">BR-207</t>
  </si>
  <si>
    <t xml:space="preserve">Customer status is derived from contracts: Lê Minh Tuấn (a contract running) shows "Đang tập" in the customer list.</t>
  </si>
  <si>
    <t xml:space="preserve">Lê Minh Tuấn in the demo data: a contract running</t>
  </si>
  <si>
    <t xml:space="preserve">1. Open Customers → Lê Minh Tuấn's row shows "Đang tập"</t>
  </si>
  <si>
    <t xml:space="preserve">CUS-02</t>
  </si>
  <si>
    <t xml:space="preserve">Customer standing "Sắp hết hạn" (the longest contract ends in exactly 30 days)</t>
  </si>
  <si>
    <t xml:space="preserve">Customer status is derived from contracts: Đinh Công Sơn (the longest contract ends in exactly 30 days) shows "Sắp hết hạn" in the customer list.</t>
  </si>
  <si>
    <t xml:space="preserve">Đinh Công Sơn in the demo data: the longest contract ends in exactly 30 days</t>
  </si>
  <si>
    <t xml:space="preserve">1. Open Customers → Đinh Công Sơn's row shows "Sắp hết hạn"</t>
  </si>
  <si>
    <t xml:space="preserve">CUS-03</t>
  </si>
  <si>
    <t xml:space="preserve">Customer standing "Hết hạn" (every contract has ended)</t>
  </si>
  <si>
    <t xml:space="preserve">Customer status is derived from contracts: Ngô Gia Bảo (every contract has ended) shows "Hết hạn" in the customer list.</t>
  </si>
  <si>
    <t xml:space="preserve">Ngô Gia Bảo in the demo data: every contract has ended</t>
  </si>
  <si>
    <t xml:space="preserve">1. Open Customers → Ngô Gia Bảo's row shows "Hết hạn"</t>
  </si>
  <si>
    <t xml:space="preserve">CUS-04</t>
  </si>
  <si>
    <t xml:space="preserve">Customer standing "Chưa có hợp đồng" (the only contract was cancelled)</t>
  </si>
  <si>
    <t xml:space="preserve">Customer status is derived from contracts: Phan Thị Kim Ngân (the only contract was cancelled) shows "Chưa có hợp đồng" in the customer list.</t>
  </si>
  <si>
    <t xml:space="preserve">Phan Thị Kim Ngân in the demo data: the only contract was cancelled</t>
  </si>
  <si>
    <t xml:space="preserve">1. Open Customers → Phan Thị Kim Ngân's row shows "Chưa có hợp đồng"</t>
  </si>
  <si>
    <t xml:space="preserve">CUS-05</t>
  </si>
  <si>
    <t xml:space="preserve">Customer standing "Ngừng hoạt động" (customer set inactive)</t>
  </si>
  <si>
    <t xml:space="preserve">Customer status is derived from contracts: Lý Thị Hoa (customer set inactive) shows "Ngừng hoạt động" in the customer list.</t>
  </si>
  <si>
    <t xml:space="preserve">Lý Thị Hoa in the demo data: customer set inactive</t>
  </si>
  <si>
    <t xml:space="preserve">1. Open Customers → Lý Thị Hoa's row shows "Ngừng hoạt động"</t>
  </si>
  <si>
    <t xml:space="preserve">CUS-06</t>
  </si>
  <si>
    <t xml:space="preserve">Expiring soon starts at 30 days before the end</t>
  </si>
  <si>
    <t xml:space="preserve">A customer is "Sắp hết hạn" when the contract that runs longest ends within 30 days (A-131): 31 days left is "Đang tập".</t>
  </si>
  <si>
    <t xml:space="preserve">1. Contract ending in 31 days → "Đang tập"
2. Ending in 30 days → "Sắp hết hạn"
3. Ended yesterday → "Hết hạn"</t>
  </si>
  <si>
    <t xml:space="preserve">CUS-07</t>
  </si>
  <si>
    <t xml:space="preserve">Search customers by phone</t>
  </si>
  <si>
    <t xml:space="preserve">FR-CUS-003</t>
  </si>
  <si>
    <t xml:space="preserve">Searching customers for 0966554433 lists Ngô Gia Bảo and not Lê Minh Tuấn.</t>
  </si>
  <si>
    <t xml:space="preserve">1. Search 0966554433 → Only Ngô Gia Bảo</t>
  </si>
  <si>
    <t xml:space="preserve">CUS-08</t>
  </si>
  <si>
    <t xml:space="preserve">Search customers by code</t>
  </si>
  <si>
    <t xml:space="preserve">Searching customers for code KH000008 lists Ngô Gia Bảo.</t>
  </si>
  <si>
    <t xml:space="preserve">1. Search KH000008 → Ngô Gia Bảo</t>
  </si>
  <si>
    <t xml:space="preserve">CUS-09</t>
  </si>
  <si>
    <t xml:space="preserve">A customer search with no match says so</t>
  </si>
  <si>
    <t xml:space="preserve">A customer search with no match shows "Không có kết quả".</t>
  </si>
  <si>
    <t xml:space="preserve">1. Search "zz-no-such-customer" → "Không có kết quả"</t>
  </si>
  <si>
    <t xml:space="preserve">CUS-10</t>
  </si>
  <si>
    <t xml:space="preserve">The customer profile has all its tabs</t>
  </si>
  <si>
    <t xml:space="preserve">FR-CUS-004</t>
  </si>
  <si>
    <t xml:space="preserve">A customer page has the tabs Thông tin, Hợp đồng, Lịch tập, Thanh toán, Lịch sử tư vấn, Giáo án and Email đã gửi.</t>
  </si>
  <si>
    <t xml:space="preserve">1. Open Lý Thị Hoa → All seven tabs</t>
  </si>
  <si>
    <t xml:space="preserve">CUS-11</t>
  </si>
  <si>
    <t xml:space="preserve">A customer phone is required with 8 to 15 digits</t>
  </si>
  <si>
    <t xml:space="preserve">FR-CUS-001</t>
  </si>
  <si>
    <t xml:space="preserve">A customer phone is required, 8 to 15 digits: empty and 7 digits are refused, 8 and 15 accepted, 16 refused.</t>
  </si>
  <si>
    <t xml:space="preserve">1. Add a customer with each phone value → Empty/7/16 refused; 8/15 accepted</t>
  </si>
  <si>
    <t xml:space="preserve">CUS-12</t>
  </si>
  <si>
    <t xml:space="preserve">A customer email is required and must be valid</t>
  </si>
  <si>
    <t xml:space="preserve">A customer email is required: empty shows "Bắt buộc nhập.", malformed shows "Email không hợp lệ."</t>
  </si>
  <si>
    <t xml:space="preserve">1. Save without email → "Bắt buộc nhập."
2. Save "an@" → "Email không hợp lệ."</t>
  </si>
  <si>
    <t xml:space="preserve">CUS-13</t>
  </si>
  <si>
    <t xml:space="preserve">Customers without email are highlighted for reception</t>
  </si>
  <si>
    <t xml:space="preserve">FR-CUS-005</t>
  </si>
  <si>
    <t xml:space="preserve">Customers without email are highlighted for reception.</t>
  </si>
  <si>
    <t xml:space="preserve">1. Open Customers as reception → Rows without email stand out</t>
  </si>
  <si>
    <t xml:space="preserve">CUS-14</t>
  </si>
  <si>
    <t xml:space="preserve">Changing a customer's identity needs the manager's approval</t>
  </si>
  <si>
    <t xml:space="preserve">BR-103</t>
  </si>
  <si>
    <t xml:space="preserve">Editing a customer's identity (name, phone, email, documents) takes effect only after approval by the Fitness Manager.</t>
  </si>
  <si>
    <t xml:space="preserve">1. Reception changes the phone → Pending; old phone still shown
2. Manager approves → New phone shown</t>
  </si>
  <si>
    <t xml:space="preserve">CUS-15</t>
  </si>
  <si>
    <t xml:space="preserve">ID numbers and health notes are encrypted and served only through signed links</t>
  </si>
  <si>
    <t xml:space="preserve">D-042</t>
  </si>
  <si>
    <t xml:space="preserve">ID numbers and health notes are encrypted at rest; files are served only through signed links.</t>
  </si>
  <si>
    <t xml:space="preserve">1. Read the database row → Ciphertext
2. Open a document link after it expires → Refused</t>
  </si>
  <si>
    <t xml:space="preserve">CUS-16</t>
  </si>
  <si>
    <t xml:space="preserve">A trainer sees only their own customers</t>
  </si>
  <si>
    <t xml:space="preserve">A PT (data scope own) sees only their own customers.</t>
  </si>
  <si>
    <t xml:space="preserve">1. Open Customers as the trainer → Only customers the trainer coaches</t>
  </si>
  <si>
    <t xml:space="preserve">CON-01</t>
  </si>
  <si>
    <t xml:space="preserve">Contracts</t>
  </si>
  <si>
    <t xml:space="preserve">1 session(s) price from the tier: 500.000 ₫</t>
  </si>
  <si>
    <t xml:space="preserve">AC-10</t>
  </si>
  <si>
    <t xml:space="preserve">Entering 1 sessions of PT (tier 500.000 ₫ per session) gives the name "PT 1 buổi" and the total 500.000 ₫.</t>
  </si>
  <si>
    <t xml:space="preserve">Signed in as the manager; customer Phan Thị Kim Ngân has no running contract</t>
  </si>
  <si>
    <t xml:space="preserve">1. New contract, service PT, 1 sessions → The price panel shows "PT 1 buổi" and 500.000 ₫; nothing is saved</t>
  </si>
  <si>
    <t xml:space="preserve">CON-02</t>
  </si>
  <si>
    <t xml:space="preserve">24 session(s) price from the tier: 12.000.000 ₫</t>
  </si>
  <si>
    <t xml:space="preserve">Entering 24 sessions of PT (tier 500.000 ₫ per session) gives the name "PT 24 buổi" and the total 12.000.000 ₫.</t>
  </si>
  <si>
    <t xml:space="preserve">1. New contract, service PT, 24 sessions → The price panel shows "PT 24 buổi" and 12.000.000 ₫; nothing is saved</t>
  </si>
  <si>
    <t xml:space="preserve">CON-03</t>
  </si>
  <si>
    <t xml:space="preserve">1000 session(s) price from the tier: 500.000.000 ₫</t>
  </si>
  <si>
    <t xml:space="preserve">Entering 1000 sessions of PT (tier 500.000 ₫ per session) gives the name "PT 1000 buổi" and the total 500.000.000 ₫.</t>
  </si>
  <si>
    <t xml:space="preserve">1. New contract, service PT, 1000 sessions → The price panel shows "PT 1000 buổi" and 500.000.000 ₫; nothing is saved</t>
  </si>
  <si>
    <t xml:space="preserve">CON-04</t>
  </si>
  <si>
    <t xml:space="preserve">Submitting zero sessions is refused</t>
  </si>
  <si>
    <t xml:space="preserve">Submitting a contract with zero sessions ("0") shows "Nhập một số nguyên từ 1 đến 1000." and creates nothing.</t>
  </si>
  <si>
    <t xml:space="preserve">1. New contract, PT, sessions "0"; "Tạo hợp đồng" → "Nhập một số nguyên từ 1 đến 1000."; still on the form</t>
  </si>
  <si>
    <t xml:space="preserve">CON-05</t>
  </si>
  <si>
    <t xml:space="preserve">Submitting too many (1001) sessions is refused</t>
  </si>
  <si>
    <t xml:space="preserve">Submitting a contract with too many (1001) sessions ("1001") shows "Nhập một số nguyên từ 1 đến 1000." and creates nothing.</t>
  </si>
  <si>
    <t xml:space="preserve">1. New contract, PT, sessions "1001"; "Tạo hợp đồng" → "Nhập một số nguyên từ 1 đến 1000."; still on the form</t>
  </si>
  <si>
    <t xml:space="preserve">CON-06</t>
  </si>
  <si>
    <t xml:space="preserve">Submitting non-numeric sessions is refused</t>
  </si>
  <si>
    <t xml:space="preserve">Submitting a contract with non-numeric sessions ("abc") shows "Nhập một số nguyên từ 1 đến 1000." and creates nothing.</t>
  </si>
  <si>
    <t xml:space="preserve">1. New contract, PT, sessions "abc"; "Tạo hợp đồng" → "Nhập một số nguyên từ 1 đến 1000."; still on the form</t>
  </si>
  <si>
    <t xml:space="preserve">CON-07</t>
  </si>
  <si>
    <t xml:space="preserve">The live price for 1001 sessions explains the range in Vietnamese</t>
  </si>
  <si>
    <t xml:space="preserve">Before saving, typing 1001 sessions shows the range message "Nhập một số nguyên từ 1 đến 1000." in the price panel, as the form does on save.</t>
  </si>
  <si>
    <t xml:space="preserve">1. Type 1001 sessions; leave the field → The price panel says "Nhập một số nguyên từ 1 đến 1000."</t>
  </si>
  <si>
    <t xml:space="preserve">FAILED</t>
  </si>
  <si>
    <t xml:space="preserve">range-message: expected "Nhập một số nguyên từ 1 đến 1000", observed "Giá hợp đồng
Too big: expected number to be &lt;=1000"</t>
  </si>
  <si>
    <t xml:space="preserve">CON-08</t>
  </si>
  <si>
    <t xml:space="preserve">The end date is the start plus the tier's validity</t>
  </si>
  <si>
    <t xml:space="preserve">BR-301</t>
  </si>
  <si>
    <t xml:space="preserve">A contract's end date is computed from the tier: PT 24 sessions ends 181 days after the start.</t>
  </si>
  <si>
    <t xml:space="preserve">1. 24 sessions starting today → End date = today + 181 days</t>
  </si>
  <si>
    <t xml:space="preserve">CON-09</t>
  </si>
  <si>
    <t xml:space="preserve">A price off the tier is an exception price needing a reason and approval</t>
  </si>
  <si>
    <t xml:space="preserve">BR-302</t>
  </si>
  <si>
    <t xml:space="preserve">A price different from the tier is an exception price: reason required, approval required, both prices stored.</t>
  </si>
  <si>
    <t xml:space="preserve">1. "Giá ngoại lệ" without a reason → Refused
2. With a reason → Flagged; cannot be activated until approved</t>
  </si>
  <si>
    <t xml:space="preserve">CON-10</t>
  </si>
  <si>
    <t xml:space="preserve">Promotion, then voucher, then VAT</t>
  </si>
  <si>
    <t xml:space="preserve">BR-303</t>
  </si>
  <si>
    <t xml:space="preserve">Promotions and vouchers apply to the tier price (promotion first, voucher on the rest, then VAT) and are not exception prices.</t>
  </si>
  <si>
    <t xml:space="preserve">1. Choose a 10% promotion and a 100.000 voucher, VAT 8% → Total = ((tier × 0.9) − 100.000) × 1.08</t>
  </si>
  <si>
    <t xml:space="preserve">Needs arithmetic across several displayed values; the executor compares text and does not compute.</t>
  </si>
  <si>
    <t xml:space="preserve">CON-11</t>
  </si>
  <si>
    <t xml:space="preserve">PT and Sale shares each total 100%</t>
  </si>
  <si>
    <t xml:space="preserve">BR-308</t>
  </si>
  <si>
    <t xml:space="preserve">PT and Sale shares on a contract each total 100%: 99% and 101% are refused.</t>
  </si>
  <si>
    <t xml:space="preserve">1. Sale shares 60% + 39% → Refused
2. 60% + 40% → Accepted
3. 60% + 41% → Refused</t>
  </si>
  <si>
    <t xml:space="preserve">CON-12</t>
  </si>
  <si>
    <t xml:space="preserve">An approved contract has no Edit action</t>
  </si>
  <si>
    <t xml:space="preserve">BR-305</t>
  </si>
  <si>
    <t xml:space="preserve">An approved contract "Đang hiệu lực" is never edited: its page has no "Sửa hợp đồng".</t>
  </si>
  <si>
    <t xml:space="preserve">HD000007 approved and active</t>
  </si>
  <si>
    <t xml:space="preserve">1. Open HD000007 → "Đang hiệu lực"; no "Sửa hợp đồng"</t>
  </si>
  <si>
    <t xml:space="preserve">CON-13</t>
  </si>
  <si>
    <t xml:space="preserve">An expired contract shows "Hết hạn"</t>
  </si>
  <si>
    <t xml:space="preserve">BR-402</t>
  </si>
  <si>
    <t xml:space="preserve">Contract HD000009 ended 10 days ago and shows "Hết hạn".</t>
  </si>
  <si>
    <t xml:space="preserve">1. Open HD000009 → "Hết hạn"</t>
  </si>
  <si>
    <t xml:space="preserve">CON-14</t>
  </si>
  <si>
    <t xml:space="preserve">A cancelled contract shows "Đã hủy"</t>
  </si>
  <si>
    <t xml:space="preserve">BR-304</t>
  </si>
  <si>
    <t xml:space="preserve">Contract HD000010 (Phan Thị Kim Ngân) was cancelled and shows "Đã hủy".</t>
  </si>
  <si>
    <t xml:space="preserve">1. Open HD000010 → "Đã hủy"</t>
  </si>
  <si>
    <t xml:space="preserve">CON-15</t>
  </si>
  <si>
    <t xml:space="preserve">Sessions left and debt are derived</t>
  </si>
  <si>
    <t xml:space="preserve">BR-602</t>
  </si>
  <si>
    <t xml:space="preserve">HD000007 (24 sessions, 3 completed, no receipts) shows "Còn lại" 21 and "Còn nợ" 12.000.000 ₫.</t>
  </si>
  <si>
    <t xml:space="preserve">1. Open HD000007 → Còn lại 21; Còn nợ 12.000.000 ₫</t>
  </si>
  <si>
    <t xml:space="preserve">CON-16</t>
  </si>
  <si>
    <t xml:space="preserve">The contract page has its three tabs</t>
  </si>
  <si>
    <t xml:space="preserve">FR-CON-005</t>
  </si>
  <si>
    <t xml:space="preserve">A contract page has the tabs "Thông tin", "Lịch sử check-in" and "Lịch sử gói tập".</t>
  </si>
  <si>
    <t xml:space="preserve">1. Open HD000007 → Three tabs</t>
  </si>
  <si>
    <t xml:space="preserve">CON-17</t>
  </si>
  <si>
    <t xml:space="preserve">A receptionist sees a contract but cannot cancel it</t>
  </si>
  <si>
    <t xml:space="preserve">A receptionist sees contracts but cannot cancel them: HD000007 shows no "Hủy hợp đồng".</t>
  </si>
  <si>
    <t xml:space="preserve">1. Open HD000007 as the receptionist → Shown; no "Hủy hợp đồng"</t>
  </si>
  <si>
    <t xml:space="preserve">CON-18</t>
  </si>
  <si>
    <t xml:space="preserve">A receptionist cannot create a contract</t>
  </si>
  <si>
    <t xml:space="preserve">A receptionist (no contract create) sees a customer's contracts but no "Thêm hợp đồng".</t>
  </si>
  <si>
    <t xml:space="preserve">1. Open Phan Thị Kim Ngân &gt; Hợp đồng as the receptionist → HD000010 listed; no "Thêm hợp đồng"</t>
  </si>
  <si>
    <t xml:space="preserve">CON-19</t>
  </si>
  <si>
    <t xml:space="preserve">A new contract waits for approval; its creator cannot approve it</t>
  </si>
  <si>
    <t xml:space="preserve">A contract is created "Chờ duyệt" and can be edited only while pending; nobody approves their own.</t>
  </si>
  <si>
    <t xml:space="preserve">1. Create a contract → "Chờ duyệt"; editable
2. Approve it as its creator → "Bạn không thể tự duyệt yêu cầu do chính mình gửi."
3. Approve as another manager → "Đang hiệu lực"; no longer editable</t>
  </si>
  <si>
    <t xml:space="preserve">CON-20</t>
  </si>
  <si>
    <t xml:space="preserve">A rejected contract has no effect</t>
  </si>
  <si>
    <t xml:space="preserve">A contract the approver rejects is "Đã từ chối" and has no effect; a rejection needs a reason.</t>
  </si>
  <si>
    <t xml:space="preserve">1. Reject without a reason → Refused
2. With a reason → "Đã từ chối"; cannot be booked or paid</t>
  </si>
  <si>
    <t xml:space="preserve">CON-21</t>
  </si>
  <si>
    <t xml:space="preserve">Unapproving is allowed only with no receipts or sessions</t>
  </si>
  <si>
    <t xml:space="preserve">An approved contract can be sent back to pending only with no receipts or sessions.</t>
  </si>
  <si>
    <t xml:space="preserve">1. Unapprove with a receipt → Refused
2. Without receipts or sessions → Back to "Chờ duyệt"</t>
  </si>
  <si>
    <t xml:space="preserve">CON-22</t>
  </si>
  <si>
    <t xml:space="preserve">Deleting a contract with receipts is blocked and lists them</t>
  </si>
  <si>
    <t xml:space="preserve">AC-12</t>
  </si>
  <si>
    <t xml:space="preserve">Deleting a contract with receipts is blocked and the receipts to delete first are listed; after deleting in order, totals fall by exactly those amounts.</t>
  </si>
  <si>
    <t xml:space="preserve">1. Delete a contract with receipts → Blocked, receipts listed
2. Delete receipts, then the contract → Revenue and receipts fall by the deleted amounts; both in the trash</t>
  </si>
  <si>
    <t xml:space="preserve">CON-23</t>
  </si>
  <si>
    <t xml:space="preserve">Freezing and reactivating extend the end date once</t>
  </si>
  <si>
    <t xml:space="preserve">AC-14</t>
  </si>
  <si>
    <t xml:space="preserve">A frozen contract cannot be booked or checked in; reactivation shows the frozen days and proposed end date; it changes only after admin confirms and never twice.</t>
  </si>
  <si>
    <t xml:space="preserve">1. Deactivate with a reason → "Tạm vô hiệu"; booking refused
2. Reactivate after 10 days → Proposed end date + 10 days; confirmed once
3. Freeze and reactivate again → No second extension</t>
  </si>
  <si>
    <t xml:space="preserve">CON-24</t>
  </si>
  <si>
    <t xml:space="preserve">A freeze longer than 10 days reminds the manager</t>
  </si>
  <si>
    <t xml:space="preserve">BR-307</t>
  </si>
  <si>
    <t xml:space="preserve">A freeze longer than 10 days creates a reminder task.</t>
  </si>
  <si>
    <t xml:space="preserve">1. Frozen for 10 days → No reminder
2. 11 days → Reminder task</t>
  </si>
  <si>
    <t xml:space="preserve">CON-25</t>
  </si>
  <si>
    <t xml:space="preserve">A renewal voucher waits for approval and then adds sessions</t>
  </si>
  <si>
    <t xml:space="preserve">FR-CHG-002</t>
  </si>
  <si>
    <t xml:space="preserve">An approved renewal voucher updates the derived figures; before approval it has no effect.</t>
  </si>
  <si>
    <t xml:space="preserve">1. Raise a renewal → Pending; figures unchanged
2. Approve → Sessions and end date updated</t>
  </si>
  <si>
    <t xml:space="preserve">CON-26</t>
  </si>
  <si>
    <t xml:space="preserve">A transfer moves the remaining sessions to the receiver</t>
  </si>
  <si>
    <t xml:space="preserve">FR-CHG-001</t>
  </si>
  <si>
    <t xml:space="preserve">A transfer needs a receiver; once approved the giver has no sessions left and the receiver has them.</t>
  </si>
  <si>
    <t xml:space="preserve">1. Raise a transfer without a receiver → Refused
2. With a receiver; approve → Sessions moved</t>
  </si>
  <si>
    <t xml:space="preserve">CON-27</t>
  </si>
  <si>
    <t xml:space="preserve">A cancellation with refund creates the expense voucher</t>
  </si>
  <si>
    <t xml:space="preserve">An approved cancellation creates the refund expense voucher.</t>
  </si>
  <si>
    <t xml:space="preserve">1. Raise a cancellation with refund → Needs reason, payment method, expense type
2. Approve → Contract "Đã hủy"; refund voucher in the cash book</t>
  </si>
  <si>
    <t xml:space="preserve">CON-28</t>
  </si>
  <si>
    <t xml:space="preserve">The contract list totals what the filter matches</t>
  </si>
  <si>
    <t xml:space="preserve">FR-CON-004</t>
  </si>
  <si>
    <t xml:space="preserve">The contract list totals value, paid and debt for the filter.</t>
  </si>
  <si>
    <t xml:space="preserve">1. Filter by payment status "Chưa thanh toán" → Totals equal the sum of the listed rows</t>
  </si>
  <si>
    <t xml:space="preserve">CON-29</t>
  </si>
  <si>
    <t xml:space="preserve">Imported contracts keep their opening balances</t>
  </si>
  <si>
    <t xml:space="preserve">BR-309</t>
  </si>
  <si>
    <t xml:space="preserve">Opening balances of imported contracts are set once and never edited.</t>
  </si>
  <si>
    <t xml:space="preserve">1. Open HD000011 (imported) → Opening sessions used and paid amount shown; no way to edit them</t>
  </si>
  <si>
    <t xml:space="preserve">BKG-01</t>
  </si>
  <si>
    <t xml:space="preserve">PT booking</t>
  </si>
  <si>
    <t xml:space="preserve">A booking on an eligible contract is created</t>
  </si>
  <si>
    <t xml:space="preserve">A booking on an approved, active contract with sessions left, within its dates and the service hours, is created.</t>
  </si>
  <si>
    <t xml:space="preserve">An active contract with sessions left</t>
  </si>
  <si>
    <t xml:space="preserve">1. Book a free cell within the contract dates → The session appears in the PT's column</t>
  </si>
  <si>
    <t xml:space="preserve">BKG-02</t>
  </si>
  <si>
    <t xml:space="preserve">A contract not yet approved cannot be booked</t>
  </si>
  <si>
    <t xml:space="preserve">A booking requires an approved, active contract with sessions left, not expired and not frozen, inside the service's hours: a contract still "Chờ duyệt" is refused with "Hợp đồng không ở trạng thái hiệu lực (đang nháp, đã hủy hoặc đã hết hạn)."</t>
  </si>
  <si>
    <t xml:space="preserve">a contract still "Chờ duyệt"</t>
  </si>
  <si>
    <t xml:space="preserve">1. PT calendar: book a session on it → Refused: "Hợp đồng không ở trạng thái hiệu lực (đang nháp, đã hủy hoặc đã hết hạn)."; no session created</t>
  </si>
  <si>
    <t xml:space="preserve">BKG-03</t>
  </si>
  <si>
    <t xml:space="preserve">An expired contract cannot be booked</t>
  </si>
  <si>
    <t xml:space="preserve">A booking requires an approved, active contract with sessions left, not expired and not frozen, inside the service's hours: an expired contract (HD000009) is refused with "Hợp đồng không ở trạng thái hiệu lực (đang nháp, đã hủy hoặc đã hết hạn)."</t>
  </si>
  <si>
    <t xml:space="preserve">an expired contract (HD000009)</t>
  </si>
  <si>
    <t xml:space="preserve">BKG-04</t>
  </si>
  <si>
    <t xml:space="preserve">A cancelled contract cannot be booked</t>
  </si>
  <si>
    <t xml:space="preserve">A booking requires an approved, active contract with sessions left, not expired and not frozen, inside the service's hours: a cancelled contract (HD000010) is refused with "Hợp đồng không ở trạng thái hiệu lực (đang nháp, đã hủy hoặc đã hết hạn)."</t>
  </si>
  <si>
    <t xml:space="preserve">a cancelled contract (HD000010)</t>
  </si>
  <si>
    <t xml:space="preserve">BKG-05</t>
  </si>
  <si>
    <t xml:space="preserve">A frozen contract cannot be booked</t>
  </si>
  <si>
    <t xml:space="preserve">A booking requires an approved, active contract with sessions left, not expired and not frozen, inside the service's hours: a contract "Tạm vô hiệu" is refused with "Hợp đồng đang bị khóa. Hãy kích hoạt lại trước."</t>
  </si>
  <si>
    <t xml:space="preserve">a contract "Tạm vô hiệu"</t>
  </si>
  <si>
    <t xml:space="preserve">1. PT calendar: book a session on it → Refused: "Hợp đồng đang bị khóa. Hãy kích hoạt lại trước."; no session created</t>
  </si>
  <si>
    <t xml:space="preserve">BKG-06</t>
  </si>
  <si>
    <t xml:space="preserve">A contract with no sessions left cannot be booked</t>
  </si>
  <si>
    <t xml:space="preserve">A booking requires an approved, active contract with sessions left, not expired and not frozen, inside the service's hours: a contract with 0 sessions left is refused with "Hợp đồng không còn buổi tập nào khả dụng."</t>
  </si>
  <si>
    <t xml:space="preserve">a contract with 0 sessions left</t>
  </si>
  <si>
    <t xml:space="preserve">1. PT calendar: book a session on it → Refused: "Hợp đồng không còn buổi tập nào khả dụng."; no session created</t>
  </si>
  <si>
    <t xml:space="preserve">BKG-07</t>
  </si>
  <si>
    <t xml:space="preserve">A date outside the contract period is refused</t>
  </si>
  <si>
    <t xml:space="preserve">A booking requires an approved, active contract with sessions left, not expired and not frozen, inside the service's hours: a date after the contract's end date is refused with "Ngày tập nằm ngoài thời hạn của hợp đồng."</t>
  </si>
  <si>
    <t xml:space="preserve">a date after the contract's end date</t>
  </si>
  <si>
    <t xml:space="preserve">1. PT calendar: book a session on it → Refused: "Ngày tập nằm ngoài thời hạn của hợp đồng."; no session created</t>
  </si>
  <si>
    <t xml:space="preserve">BKG-08</t>
  </si>
  <si>
    <t xml:space="preserve">A time outside the service hours is refused</t>
  </si>
  <si>
    <t xml:space="preserve">A booking requires an approved, active contract with sessions left, not expired and not frozen, inside the service's hours: a time outside the service's allowed hours is refused with "Giờ này nằm ngoài khung giờ được dùng dịch vụ."</t>
  </si>
  <si>
    <t xml:space="preserve">a time outside the service's allowed hours</t>
  </si>
  <si>
    <t xml:space="preserve">1. PT calendar: book a session on it → Refused: "Giờ này nằm ngoài khung giờ được dùng dịch vụ."; no session created</t>
  </si>
  <si>
    <t xml:space="preserve">BKG-09</t>
  </si>
  <si>
    <t xml:space="preserve">A booking over the daily limit is refused</t>
  </si>
  <si>
    <t xml:space="preserve">A booking requires an approved, active contract with sessions left, not expired and not frozen, inside the service's hours: a second session in a day for a service limited to one per day is refused with "Dịch vụ không cho thêm buổi nào cho khách trong ngày này."</t>
  </si>
  <si>
    <t xml:space="preserve">a second session in a day for a service limited to one per day</t>
  </si>
  <si>
    <t xml:space="preserve">1. PT calendar: book a session on it → Refused: "Dịch vụ không cho thêm buổi nào cho khách trong ngày này."; no session created</t>
  </si>
  <si>
    <t xml:space="preserve">BKG-10</t>
  </si>
  <si>
    <t xml:space="preserve">A trainer cannot have two sessions at once</t>
  </si>
  <si>
    <t xml:space="preserve">BR-403</t>
  </si>
  <si>
    <t xml:space="preserve">A PT cannot have two sessions at once: "Huấn luyện viên đã có lịch trùng giờ này."</t>
  </si>
  <si>
    <t xml:space="preserve">Trainer Khoa has a session at 17:00 today</t>
  </si>
  <si>
    <t xml:space="preserve">1. Book another customer with Khoa at 17:00 → "Huấn luyện viên đã có lịch trùng giờ này."</t>
  </si>
  <si>
    <t xml:space="preserve">BKG-11</t>
  </si>
  <si>
    <t xml:space="preserve">A customer cannot have two sessions at once</t>
  </si>
  <si>
    <t xml:space="preserve">A customer cannot have two sessions at once: "Khách đã có buổi tập khác vào giờ này."</t>
  </si>
  <si>
    <t xml:space="preserve">1. Book the same customer with another PT at an overlapping time → "Khách đã có buổi tập khác vào giờ này."</t>
  </si>
  <si>
    <t xml:space="preserve">BKG-12</t>
  </si>
  <si>
    <t xml:space="preserve">Back-to-back sessions do not overlap</t>
  </si>
  <si>
    <t xml:space="preserve">A session ending at 18:00 and another starting at 18:00 for the same PT do not overlap.</t>
  </si>
  <si>
    <t xml:space="preserve">1. Book 17:00–18:00 and 18:00–19:00 for one PT → Both created
2. Book 17:30–18:30 → Refused as an overlap</t>
  </si>
  <si>
    <t xml:space="preserve">BKG-13</t>
  </si>
  <si>
    <t xml:space="preserve">An end time not after the start is explained before saving</t>
  </si>
  <si>
    <t xml:space="preserve">FR-PT-002</t>
  </si>
  <si>
    <t xml:space="preserve">An end time not after the start shows "Giờ kết thúc phải sau giờ bắt đầu." before anything is saved.</t>
  </si>
  <si>
    <t xml:space="preserve">1. End 17:00, start 17:00 → "Giờ kết thúc phải sau giờ bắt đầu."
2. End 16:30 → Same message</t>
  </si>
  <si>
    <t xml:space="preserve">BKG-14</t>
  </si>
  <si>
    <t xml:space="preserve">Times must be on the hour or half hour</t>
  </si>
  <si>
    <t xml:space="preserve">FR-PT-001</t>
  </si>
  <si>
    <t xml:space="preserve">Times are 30-minute cells: 05:15 shows "Chọn giờ tròn hoặc giờ rưỡi, ví dụ 05:00 hoặc 05:30."</t>
  </si>
  <si>
    <t xml:space="preserve">1. Start 05:15 → Refused with the half-hour message
2. 05:30 → Accepted</t>
  </si>
  <si>
    <t xml:space="preserve">BKG-15</t>
  </si>
  <si>
    <t xml:space="preserve">A PT can book outside the on-duty shift</t>
  </si>
  <si>
    <t xml:space="preserve">AC-24</t>
  </si>
  <si>
    <t xml:space="preserve">A PT can book outside the on-duty shift, and the grid colors in-shift and off-shift time differently.</t>
  </si>
  <si>
    <t xml:space="preserve">1. Book an off-shift cell → Created
2. Look at the grid → Off-shift cells shaded differently</t>
  </si>
  <si>
    <t xml:space="preserve">BKG-16</t>
  </si>
  <si>
    <t xml:space="preserve">Two concurrent bookings of the same slot create one</t>
  </si>
  <si>
    <t xml:space="preserve">Overlaps are refused even under concurrent requests (enforced by the database).</t>
  </si>
  <si>
    <t xml:space="preserve">1. Two users book the same trainer slot at the same moment → One succeeds, one is refused</t>
  </si>
  <si>
    <t xml:space="preserve">BKG-17</t>
  </si>
  <si>
    <t xml:space="preserve">A trainer sees only their own column</t>
  </si>
  <si>
    <t xml:space="preserve">A PT with data scope own sees and completes only their own sessions.</t>
  </si>
  <si>
    <t xml:space="preserve">1. Open the PT calendar as a trainer → Only their column</t>
  </si>
  <si>
    <t xml:space="preserve">BKG-18</t>
  </si>
  <si>
    <t xml:space="preserve">Reception opens the PT calendar</t>
  </si>
  <si>
    <t xml:space="preserve">Reception opens the PT calendar "Lịch PT".</t>
  </si>
  <si>
    <t xml:space="preserve">1. Open Lịch PT as the receptionist → The calendar opens</t>
  </si>
  <si>
    <t xml:space="preserve">SES-01</t>
  </si>
  <si>
    <t xml:space="preserve">Sessions</t>
  </si>
  <si>
    <t xml:space="preserve">Booking never consumes a session</t>
  </si>
  <si>
    <t xml:space="preserve">BR-401</t>
  </si>
  <si>
    <t xml:space="preserve">Booking never consumes a session.</t>
  </si>
  <si>
    <t xml:space="preserve">1. Note sessions left; book → Unchanged</t>
  </si>
  <si>
    <t xml:space="preserve">Needs a record created earlier in the same test, with its new id carried to later steps; the executor cannot do that yet.</t>
  </si>
  <si>
    <t xml:space="preserve">SES-02</t>
  </si>
  <si>
    <t xml:space="preserve">"Đã tập" consumes one session and credits the PT</t>
  </si>
  <si>
    <t xml:space="preserve">BR-404</t>
  </si>
  <si>
    <t xml:space="preserve">"Đã tập" consumes a session and credits the PT.</t>
  </si>
  <si>
    <t xml:space="preserve">1. Mark a booked session "Đã tập" → Sessions left −1; PT credited 1</t>
  </si>
  <si>
    <t xml:space="preserve">SES-03</t>
  </si>
  <si>
    <t xml:space="preserve">"Khách không đến" consumes one session and credits the PT</t>
  </si>
  <si>
    <t xml:space="preserve">"Khách không đến" consumes a session and credits the PT.</t>
  </si>
  <si>
    <t xml:space="preserve">1. Mark "Khách không đến" → Sessions left −1; PT credited</t>
  </si>
  <si>
    <t xml:space="preserve">SES-04</t>
  </si>
  <si>
    <t xml:space="preserve">"Hủy lịch" neither consumes nor credits</t>
  </si>
  <si>
    <t xml:space="preserve">"Hủy lịch" does not consume or credit.</t>
  </si>
  <si>
    <t xml:space="preserve">1. Cancel a booked session → Sessions left unchanged; no credit</t>
  </si>
  <si>
    <t xml:space="preserve">SES-05</t>
  </si>
  <si>
    <t xml:space="preserve">"Đã tập" is final</t>
  </si>
  <si>
    <t xml:space="preserve">BR-405</t>
  </si>
  <si>
    <t xml:space="preserve">"Đã tập" requires its own permission and is final: its status cannot change.</t>
  </si>
  <si>
    <t xml:space="preserve">1. Try to change a "Đã tập" session → No status actions offered</t>
  </si>
  <si>
    <t xml:space="preserve">SES-06</t>
  </si>
  <si>
    <t xml:space="preserve">Repeating a status change never consumes twice</t>
  </si>
  <si>
    <t xml:space="preserve">BR-409</t>
  </si>
  <si>
    <t xml:space="preserve">Repeating a status change never consumes twice, also under concurrent requests.</t>
  </si>
  <si>
    <t xml:space="preserve">1. Send "Đã tập" twice → Sessions left −1 only</t>
  </si>
  <si>
    <t xml:space="preserve">SES-07</t>
  </si>
  <si>
    <t xml:space="preserve">Deleting a recorded session refunds exactly one and emails the customer</t>
  </si>
  <si>
    <t xml:space="preserve">AC-16</t>
  </si>
  <si>
    <t xml:space="preserve">When admin deletes a "Đã tập" session, the customer gets exactly 1 session back and the PT exactly 1 credit less.</t>
  </si>
  <si>
    <t xml:space="preserve">1. Delete from the check-in history with a reason → +1 session; −1 PT credit; one email; in the trash</t>
  </si>
  <si>
    <t xml:space="preserve">SES-08</t>
  </si>
  <si>
    <t xml:space="preserve">Deleting a session in a paid period adds an adjustment</t>
  </si>
  <si>
    <t xml:space="preserve">BR-407</t>
  </si>
  <si>
    <t xml:space="preserve">Deleting a session in a period already paid to the PT keeps the payout and adds a negative adjustment to the next period.</t>
  </si>
  <si>
    <t xml:space="preserve">1. Delete a session from a paid period → Next period shows a −1 adjustment line</t>
  </si>
  <si>
    <t xml:space="preserve">SES-09</t>
  </si>
  <si>
    <t xml:space="preserve">Burn Show needs a reason and counts like "Đã tập"</t>
  </si>
  <si>
    <t xml:space="preserve">BR-408</t>
  </si>
  <si>
    <t xml:space="preserve">Burn Show adds a session by hand with a mandatory reason; it consumes and credits like Đã tập and is marked "added by hand".</t>
  </si>
  <si>
    <t xml:space="preserve">1. Burn Show without a reason → Refused
2. With a reason → Session added by hand; −1 left; PT credited</t>
  </si>
  <si>
    <t xml:space="preserve">SES-10</t>
  </si>
  <si>
    <t xml:space="preserve">Admin confirms a day's sessions in bulk</t>
  </si>
  <si>
    <t xml:space="preserve">FR-PT-004</t>
  </si>
  <si>
    <t xml:space="preserve">Admin confirms many sessions of a day quickly ("Đã tập" in bulk).</t>
  </si>
  <si>
    <t xml:space="preserve">1. Select several checked-in sessions; confirm → All "Đã tập"; each consumed once</t>
  </si>
  <si>
    <t xml:space="preserve">SES-11</t>
  </si>
  <si>
    <t xml:space="preserve">Each session status shows its configured color</t>
  </si>
  <si>
    <t xml:space="preserve">AC-15</t>
  </si>
  <si>
    <t xml:space="preserve">Each session status shows its color.</t>
  </si>
  <si>
    <t xml:space="preserve">1. Look at the calendar → Colors match the status rules</t>
  </si>
  <si>
    <t xml:space="preserve">CLS-01</t>
  </si>
  <si>
    <t xml:space="preserve">Classes and check-in</t>
  </si>
  <si>
    <t xml:space="preserve">A full class refuses another enrolment</t>
  </si>
  <si>
    <t xml:space="preserve">BR-411</t>
  </si>
  <si>
    <t xml:space="preserve">Class enrollment is refused when the class is full: "Lớp đã đầy."</t>
  </si>
  <si>
    <t xml:space="preserve">1. Class capacity 10 with 9 enrolled: enroll one → Enrolled
2. Enroll the 11th → "Lớp đã đầy."</t>
  </si>
  <si>
    <t xml:space="preserve">CLS-02</t>
  </si>
  <si>
    <t xml:space="preserve">Enrolment needs a group-class contract with sessions and time left</t>
  </si>
  <si>
    <t xml:space="preserve">Enrollment is refused when the group-class contract is out of sessions or expired.</t>
  </si>
  <si>
    <t xml:space="preserve">1. Enroll with an expired class contract → Refused
2. With no sessions left → Refused</t>
  </si>
  <si>
    <t xml:space="preserve">CLS-03</t>
  </si>
  <si>
    <t xml:space="preserve">"Present" consumes one session and credits the coach</t>
  </si>
  <si>
    <t xml:space="preserve">"Present" consumes one session of that contract; each class taught counts as a teaching session for the coach.</t>
  </si>
  <si>
    <t xml:space="preserve">1. Mark a member present → −1 session; coach credited</t>
  </si>
  <si>
    <t xml:space="preserve">CLS-04</t>
  </si>
  <si>
    <t xml:space="preserve">The same member cannot take two seats in one class</t>
  </si>
  <si>
    <t xml:space="preserve">A second seat for the same member shows "Khách đã có chỗ trong buổi lớp này."</t>
  </si>
  <si>
    <t xml:space="preserve">1. Enroll the same member twice → "Khách đã có chỗ trong buổi lớp này."</t>
  </si>
  <si>
    <t xml:space="preserve">CHK-01</t>
  </si>
  <si>
    <t xml:space="preserve">Paired scans within 15 minutes complete the session</t>
  </si>
  <si>
    <t xml:space="preserve">AC-29</t>
  </si>
  <si>
    <t xml:space="preserve">A customer and the right PT scanning within 15 minutes turns the session to "Đã tập" and triggers the session taken, the PT credit and the email.</t>
  </si>
  <si>
    <t xml:space="preserve">1. Customer and PT scan 14 minutes apart → "Đã tập"
2. 16 minutes apart → Not paired; session hangs with the reason</t>
  </si>
  <si>
    <t xml:space="preserve">Involves email, push notifications or devices outside the browser.</t>
  </si>
  <si>
    <t xml:space="preserve">CHK-02</t>
  </si>
  <si>
    <t xml:space="preserve">A scan with no booking is an error</t>
  </si>
  <si>
    <t xml:space="preserve">A scan with no booking is an error.</t>
  </si>
  <si>
    <t xml:space="preserve">1. Scan a customer with no session today → Error recorded</t>
  </si>
  <si>
    <t xml:space="preserve">CHK-03</t>
  </si>
  <si>
    <t xml:space="preserve">A session without a full check-in is chased</t>
  </si>
  <si>
    <t xml:space="preserve">AC-30</t>
  </si>
  <si>
    <t xml:space="preserve">A session without a full check-in is notified to its PT at the end of the day, and to the Studio Manager with a task after 24 hours.</t>
  </si>
  <si>
    <t xml:space="preserve">1. Leave a session half checked-in → PT told at day end; manager task after 24 h</t>
  </si>
  <si>
    <t xml:space="preserve">MON-01</t>
  </si>
  <si>
    <t xml:space="preserve">Money</t>
  </si>
  <si>
    <t xml:space="preserve">A receipt of 0 is refused</t>
  </si>
  <si>
    <t xml:space="preserve">BR-603</t>
  </si>
  <si>
    <t xml:space="preserve">Receipt amounts are greater than zero: 0 shows "Số tiền phải lớn hơn 0."</t>
  </si>
  <si>
    <t xml:space="preserve">1. Record a payment of 0 → "Số tiền phải lớn hơn 0."</t>
  </si>
  <si>
    <t xml:space="preserve">MON-02</t>
  </si>
  <si>
    <t xml:space="preserve">A receipt of 1 ₫ is accepted</t>
  </si>
  <si>
    <t xml:space="preserve">A receipt of 1 ₫ is accepted.</t>
  </si>
  <si>
    <t xml:space="preserve">1. Record 1 → Recorded, pending approval</t>
  </si>
  <si>
    <t xml:space="preserve">MON-03</t>
  </si>
  <si>
    <t xml:space="preserve">A receipt equal to the debt is accepted</t>
  </si>
  <si>
    <t xml:space="preserve">BR-604</t>
  </si>
  <si>
    <t xml:space="preserve">A receipt may take the paid amount up to the contract value: paying exactly the debt is accepted.</t>
  </si>
  <si>
    <t xml:space="preserve">1. HD000007 owes 12.000.000: record 12.000.000 → Accepted; debt 0 once approved</t>
  </si>
  <si>
    <t xml:space="preserve">MON-04</t>
  </si>
  <si>
    <t xml:space="preserve">A receipt above the debt is refused</t>
  </si>
  <si>
    <t xml:space="preserve">A receipt may not take the paid amount above the contract value: "Khoản thanh toán làm tổng đã trả vượt giá trị hợp đồng."</t>
  </si>
  <si>
    <t xml:space="preserve">1. Record 12.000.001 on HD000007 → "Khoản thanh toán làm tổng đã trả vượt giá trị hợp đồng."</t>
  </si>
  <si>
    <t xml:space="preserve">MON-05</t>
  </si>
  <si>
    <t xml:space="preserve">A non-integer amount is refused</t>
  </si>
  <si>
    <t xml:space="preserve">Amounts are whole đồng: "1.5" shows "Số tiền không hợp lệ. Nhập số đồng nguyên, ví dụ 12.000.000."</t>
  </si>
  <si>
    <t xml:space="preserve">1. Amount 1.5 → Invalid amount message</t>
  </si>
  <si>
    <t xml:space="preserve">MON-06</t>
  </si>
  <si>
    <t xml:space="preserve">A payment on a cancelled contract is refused</t>
  </si>
  <si>
    <t xml:space="preserve">BR-601</t>
  </si>
  <si>
    <t xml:space="preserve">A payment on a cancelled contract is refused: "Không ghi nhận thanh toán cho hợp đồng đã hủy."</t>
  </si>
  <si>
    <t xml:space="preserve">1. Pay on HD000010 → "Không ghi nhận thanh toán cho hợp đồng đã hủy."</t>
  </si>
  <si>
    <t xml:space="preserve">MON-07</t>
  </si>
  <si>
    <t xml:space="preserve">Paid and debt count only approved, undeleted receipts</t>
  </si>
  <si>
    <t xml:space="preserve">Paid amount, debt and payment status are computed only from valid receipts (approved, not deleted) plus the opening paid amount.</t>
  </si>
  <si>
    <t xml:space="preserve">1. Add a pending receipt → Debt unchanged
2. Approve it → Debt falls by the amount
3. Delete it → Debt back</t>
  </si>
  <si>
    <t xml:space="preserve">MON-08</t>
  </si>
  <si>
    <t xml:space="preserve">Paid and debt always equal the receipts</t>
  </si>
  <si>
    <t xml:space="preserve">AC-19</t>
  </si>
  <si>
    <t xml:space="preserve">Each contract's paid amount and debt always equal the sum of its valid receipts.</t>
  </si>
  <si>
    <t xml:space="preserve">1. Two approved receipts 5.000.000 and 3.000.000 on a 12.000.000 contract → Paid 8.000.000; debt 4.000.000</t>
  </si>
  <si>
    <t xml:space="preserve">MON-09</t>
  </si>
  <si>
    <t xml:space="preserve">The cash book balances</t>
  </si>
  <si>
    <t xml:space="preserve">Cash book closing balance equals opening balance plus receipts minus expenses.</t>
  </si>
  <si>
    <t xml:space="preserve">1. Open Sổ quỹ for a day and method → Closing = opening + in − out</t>
  </si>
  <si>
    <t xml:space="preserve">MON-10</t>
  </si>
  <si>
    <t xml:space="preserve">Only Admin edits a receipt date, and it is logged</t>
  </si>
  <si>
    <t xml:space="preserve">BR-605</t>
  </si>
  <si>
    <t xml:space="preserve">Editing a receipt's date is a separate permission (Admin) and is always logged.</t>
  </si>
  <si>
    <t xml:space="preserve">1. Manager opens a receipt → No date edit
2. Admin edits the date → Saved; action history shows before and after</t>
  </si>
  <si>
    <t xml:space="preserve">MON-11</t>
  </si>
  <si>
    <t xml:space="preserve">Deleting a receipt asks for a reason and returns the amount to the debt</t>
  </si>
  <si>
    <t xml:space="preserve">BR-104</t>
  </si>
  <si>
    <t xml:space="preserve">Deleting a receipt requires a reason, waits for an admin, moves it to the trash and puts the amount back into the debt.</t>
  </si>
  <si>
    <t xml:space="preserve">1. Delete a receipt with "Khác" and no note → Refused
2. With a reason; admin approves → In the trash; debt restored</t>
  </si>
  <si>
    <t xml:space="preserve">MON-12</t>
  </si>
  <si>
    <t xml:space="preserve">A PT payout never pays a session twice</t>
  </si>
  <si>
    <t xml:space="preserve">AC-18</t>
  </si>
  <si>
    <t xml:space="preserve">PT payout vouchers never pay a session twice.</t>
  </si>
  <si>
    <t xml:space="preserve">1. Pay a period → One voucher
2. Pay the same period again → "Không còn gì để chi cho PT trong kỳ này…"</t>
  </si>
  <si>
    <t xml:space="preserve">MON-13</t>
  </si>
  <si>
    <t xml:space="preserve">An expense voucher must be greater than zero</t>
  </si>
  <si>
    <t xml:space="preserve">Expense amounts are greater than zero.</t>
  </si>
  <si>
    <t xml:space="preserve">1. Expense of 0 → "Số tiền phải lớn hơn 0."
2. 1 → Accepted</t>
  </si>
  <si>
    <t xml:space="preserve">MON-14</t>
  </si>
  <si>
    <t xml:space="preserve">A receptionist has payments and debt but not income and expenses</t>
  </si>
  <si>
    <t xml:space="preserve">A receptionist opens Finance and sees the tabs "Thanh toán" and "Công nợ" but not "Thu / Chi".</t>
  </si>
  <si>
    <t xml:space="preserve">1. Open Finance as the receptionist → "Thanh toán" and "Công nợ"; no "Thu / Chi"</t>
  </si>
  <si>
    <t xml:space="preserve">MON-15</t>
  </si>
  <si>
    <t xml:space="preserve">A manager has income and expenses</t>
  </si>
  <si>
    <t xml:space="preserve">A Fitness Manager sees the Finance tab "Thu / Chi".</t>
  </si>
  <si>
    <t xml:space="preserve">1. Open Finance as the manager → "Thu / Chi" is there</t>
  </si>
  <si>
    <t xml:space="preserve">APR-01</t>
  </si>
  <si>
    <t xml:space="preserve">Approvals, trash and audit</t>
  </si>
  <si>
    <t xml:space="preserve">The submitter cannot approve their own request</t>
  </si>
  <si>
    <t xml:space="preserve">AC-05</t>
  </si>
  <si>
    <t xml:space="preserve">Actions in approval groups have no effect until approved; the submitter cannot approve them: "Bạn không thể tự duyệt yêu cầu do chính mình gửi."</t>
  </si>
  <si>
    <t xml:space="preserve">1. Submit a receipt as the manager; approve it yourself → Refused
2. Another approver approves → Takes effect</t>
  </si>
  <si>
    <t xml:space="preserve">APR-02</t>
  </si>
  <si>
    <t xml:space="preserve">A pending request has no effect</t>
  </si>
  <si>
    <t xml:space="preserve">Actions configured in the approval matrix take effect only after approval.</t>
  </si>
  <si>
    <t xml:space="preserve">1. Submit; check the figures before approval → Unchanged</t>
  </si>
  <si>
    <t xml:space="preserve">APR-03</t>
  </si>
  <si>
    <t xml:space="preserve">A rejection needs a reason</t>
  </si>
  <si>
    <t xml:space="preserve">FR-PLT-007</t>
  </si>
  <si>
    <t xml:space="preserve">Rejection takes a reason.</t>
  </si>
  <si>
    <t xml:space="preserve">1. Reject without a reason → Refused
2. With a reason → Rejected; reason shown to the submitter</t>
  </si>
  <si>
    <t xml:space="preserve">APR-04</t>
  </si>
  <si>
    <t xml:space="preserve">An approval pending over 24 hours goes to the approver's manager</t>
  </si>
  <si>
    <t xml:space="preserve">AC-28</t>
  </si>
  <si>
    <t xml:space="preserve">A slow approval past 24 hours is told to the approver's direct manager.</t>
  </si>
  <si>
    <t xml:space="preserve">1. Pending 23 h 59 → No escalation
2. 24 h → Direct manager told</t>
  </si>
  <si>
    <t xml:space="preserve">APR-05</t>
  </si>
  <si>
    <t xml:space="preserve">Admin switches approval on or off per action on screen</t>
  </si>
  <si>
    <t xml:space="preserve">Admin switches approval on or off and changes approvers per action type on screen; the change takes effect immediately.</t>
  </si>
  <si>
    <t xml:space="preserve">1. Turn off approval for receipts → The next receipt takes effect at once</t>
  </si>
  <si>
    <t xml:space="preserve">APR-06</t>
  </si>
  <si>
    <t xml:space="preserve">Every role can open its approvals page</t>
  </si>
  <si>
    <t xml:space="preserve">Deciding a request needs no permission of its own: a receptionist opens "Phê duyệt".</t>
  </si>
  <si>
    <t xml:space="preserve">1. Open Phê duyệt as the receptionist → The page opens</t>
  </si>
  <si>
    <t xml:space="preserve">TRS-01</t>
  </si>
  <si>
    <t xml:space="preserve">Deleted data is in the trash with its reason and cannot be purged</t>
  </si>
  <si>
    <t xml:space="preserve">AC-13</t>
  </si>
  <si>
    <t xml:space="preserve">Deleted data is in the trash with its reason, viewable only by management, and cannot be deleted.</t>
  </si>
  <si>
    <t xml:space="preserve">1. Delete a record with a reason → In the trash with who, when and why
2. Look for purge or restore → None</t>
  </si>
  <si>
    <t xml:space="preserve">TRS-02</t>
  </si>
  <si>
    <t xml:space="preserve">Codes are never reused after a deletion</t>
  </si>
  <si>
    <t xml:space="preserve">BR-105</t>
  </si>
  <si>
    <t xml:space="preserve">Codes are unique and never reused.</t>
  </si>
  <si>
    <t xml:space="preserve">1. Delete the newest lead; add another → It gets the next code, not the deleted one</t>
  </si>
  <si>
    <t xml:space="preserve">AUD-01</t>
  </si>
  <si>
    <t xml:space="preserve">Every change is audited with before and after values</t>
  </si>
  <si>
    <t xml:space="preserve">BR-106</t>
  </si>
  <si>
    <t xml:space="preserve">Every create, update, delete, approval and change of roles, permissions, thresholds or configuration is audited with before and after values.</t>
  </si>
  <si>
    <t xml:space="preserve">1. Edit a lead's phone → Action history shows old and new phone, who and when</t>
  </si>
  <si>
    <t xml:space="preserve">CFG-01</t>
  </si>
  <si>
    <t xml:space="preserve">Configuration</t>
  </si>
  <si>
    <t xml:space="preserve">An option added on screen shows immediately; old data is unchanged</t>
  </si>
  <si>
    <t xml:space="preserve">AC-03</t>
  </si>
  <si>
    <t xml:space="preserve">Admin adds or deactivates an option on screen, the change shows immediately, and old data is unchanged.</t>
  </si>
  <si>
    <t xml:space="preserve">1. Add a channel option → Available in the lead form at once
2. Deactivate it → Not offered; old leads keep it</t>
  </si>
  <si>
    <t xml:space="preserve">CFG-02</t>
  </si>
  <si>
    <t xml:space="preserve">"Khác" cannot be deactivated</t>
  </si>
  <si>
    <t xml:space="preserve">BR-102</t>
  </si>
  <si>
    <t xml:space="preserve">"Khác" is always available: deactivating it shows "Lựa chọn "Khác" luôn được dùng, không thể ngừng."</t>
  </si>
  <si>
    <t xml:space="preserve">1. Deactivate "Khác" → Refused</t>
  </si>
  <si>
    <t xml:space="preserve">CFG-03</t>
  </si>
  <si>
    <t xml:space="preserve">Parameters change behaviour without a developer</t>
  </si>
  <si>
    <t xml:space="preserve">AC-02</t>
  </si>
  <si>
    <t xml:space="preserve">Admin changes permissions, approval thresholds, price tiers, timers and session status rules on screen; changes take effect immediately.</t>
  </si>
  <si>
    <t xml:space="preserve">1. Change the re-care days from 15 to 10 → The next refused lead gets +10 days</t>
  </si>
  <si>
    <t xml:space="preserve">CFG-04</t>
  </si>
  <si>
    <t xml:space="preserve">A role's discount threshold is 0 to 100</t>
  </si>
  <si>
    <t xml:space="preserve">FR-PLT-002</t>
  </si>
  <si>
    <t xml:space="preserve">A role's discount threshold is kept between 0 and 100; over 100 is refused.</t>
  </si>
  <si>
    <t xml:space="preserve">1. Set 100 → Kept
2. Set 101 → Refused</t>
  </si>
  <si>
    <t xml:space="preserve">CFG-05</t>
  </si>
  <si>
    <t xml:space="preserve">Overlapping price tiers are refused</t>
  </si>
  <si>
    <t xml:space="preserve">FR-SVC-002</t>
  </si>
  <si>
    <t xml:space="preserve">Price tiers of a service may not overlap.</t>
  </si>
  <si>
    <t xml:space="preserve">1. Tiers 1–12 and 10–24 → Refused
2. 1–12 and 13–24 → Saved</t>
  </si>
  <si>
    <t xml:space="preserve">CFG-06</t>
  </si>
  <si>
    <t xml:space="preserve">A service name in use is refused in any case</t>
  </si>
  <si>
    <t xml:space="preserve">FR-SVC-001</t>
  </si>
  <si>
    <t xml:space="preserve">A service name already in use, in any letter case, is refused: "Tên này đã được dùng."</t>
  </si>
  <si>
    <t xml:space="preserve">1. Add service "pt" → "Tên này đã được dùng."</t>
  </si>
  <si>
    <t xml:space="preserve">CFG-07</t>
  </si>
  <si>
    <t xml:space="preserve">A voucher code in use is refused</t>
  </si>
  <si>
    <t xml:space="preserve">FR-SVC-004</t>
  </si>
  <si>
    <t xml:space="preserve">A voucher code already in use is refused.</t>
  </si>
  <si>
    <t xml:space="preserve">1. Add a voucher with an existing code → Refused</t>
  </si>
  <si>
    <t xml:space="preserve">CFG-08</t>
  </si>
  <si>
    <t xml:space="preserve">A price version from tomorrow does not change today's price</t>
  </si>
  <si>
    <t xml:space="preserve">Price tiers have versions with effective dates; a version from tomorrow does not change today's price.</t>
  </si>
  <si>
    <t xml:space="preserve">1. Save a new tier version effective tomorrow → Today's contract form shows the old price</t>
  </si>
  <si>
    <t xml:space="preserve">CFG-09</t>
  </si>
  <si>
    <t xml:space="preserve">Only Admin changes session status rules</t>
  </si>
  <si>
    <t xml:space="preserve">Only Admin changes session status rules and colors.</t>
  </si>
  <si>
    <t xml:space="preserve">1. Open Trạng thái buổi tập as the manager → Refused or read-only
2. As Admin → Editable</t>
  </si>
  <si>
    <t xml:space="preserve">TSK-01</t>
  </si>
  <si>
    <t xml:space="preserve">Tasks and notifications</t>
  </si>
  <si>
    <t xml:space="preserve">A task title is 1 to 200 characters</t>
  </si>
  <si>
    <t xml:space="preserve">FR-TASK-001</t>
  </si>
  <si>
    <t xml:space="preserve">A task title is required and at most 200 characters: empty is "Bắt buộc nhập.", 201 is "Quá dài."</t>
  </si>
  <si>
    <t xml:space="preserve">1. Empty title → "Bắt buộc nhập."
2. 200 characters → Saved
3. 201 → "Quá dài."</t>
  </si>
  <si>
    <t xml:space="preserve">TSK-02</t>
  </si>
  <si>
    <t xml:space="preserve">A task moves New → Accepted → In progress → Done</t>
  </si>
  <si>
    <t xml:space="preserve">FR-TASK-002</t>
  </si>
  <si>
    <t xml:space="preserve">Task statuses New, Accepted, In progress, Done, Cancelled; the assignee accepts.</t>
  </si>
  <si>
    <t xml:space="preserve">1. Assignee accepts, starts, finishes → Each status recorded
2. Assigner cancels a New task → Cancelled</t>
  </si>
  <si>
    <t xml:space="preserve">TSK-03</t>
  </si>
  <si>
    <t xml:space="preserve">Overdue tasks are highlighted and reported to the assigner</t>
  </si>
  <si>
    <t xml:space="preserve">BR-702</t>
  </si>
  <si>
    <t xml:space="preserve">Overdue tasks are highlighted and reported to the assigner.</t>
  </si>
  <si>
    <t xml:space="preserve">1. Let a task pass its deadline → Highlighted; assigner told</t>
  </si>
  <si>
    <t xml:space="preserve">TSK-04</t>
  </si>
  <si>
    <t xml:space="preserve">Reminders at 24, 3 and 1 hours before the deadline</t>
  </si>
  <si>
    <t xml:space="preserve">A task is reminded at all three points before its deadline through the bell, email and phone.</t>
  </si>
  <si>
    <t xml:space="preserve">1. Task due in 25 h → Reminded at 24 h, 3 h and 1 h before</t>
  </si>
  <si>
    <t xml:space="preserve">TSK-05</t>
  </si>
  <si>
    <t xml:space="preserve">Every role has its tasks page</t>
  </si>
  <si>
    <t xml:space="preserve">FR-TASK-005</t>
  </si>
  <si>
    <t xml:space="preserve">Tasks are for every role: a PT opens "Công việc".</t>
  </si>
  <si>
    <t xml:space="preserve">1. Open Công việc as the trainer → The page opens</t>
  </si>
  <si>
    <t xml:space="preserve">MAIL-01</t>
  </si>
  <si>
    <t xml:space="preserve">Each credited or refunded session sends exactly one email</t>
  </si>
  <si>
    <t xml:space="preserve">AC-17</t>
  </si>
  <si>
    <t xml:space="preserve">Every credited or refunded session sends exactly one email to the customer, from the template and in the right language, with its status stored in the profile.</t>
  </si>
  <si>
    <t xml:space="preserve">1. Complete a session → One email, status on "Email đã gửi"
2. Refund it → One more email</t>
  </si>
  <si>
    <t xml:space="preserve">MAIL-02</t>
  </si>
  <si>
    <t xml:space="preserve">The email language follows the nationality</t>
  </si>
  <si>
    <t xml:space="preserve">BR-701</t>
  </si>
  <si>
    <t xml:space="preserve">Emails go in the language of the customer's nationality group (Vietnamese or foreign).</t>
  </si>
  <si>
    <t xml:space="preserve">1. Vietnamese customer → Vietnamese email
2. Foreign customer → English email</t>
  </si>
  <si>
    <t xml:space="preserve">MAIL-03</t>
  </si>
  <si>
    <t xml:space="preserve">A failed email creates a reception task</t>
  </si>
  <si>
    <t xml:space="preserve">FR-MAIL-003</t>
  </si>
  <si>
    <t xml:space="preserve">Email failures create a reception task.</t>
  </si>
  <si>
    <t xml:space="preserve">1. Make an email fail → Status failed with the reason; reception task</t>
  </si>
  <si>
    <t xml:space="preserve">NTF-01</t>
  </si>
  <si>
    <t xml:space="preserve">Users read their notifications</t>
  </si>
  <si>
    <t xml:space="preserve">FR-PLT-009</t>
  </si>
  <si>
    <t xml:space="preserve">Users receive in-app notifications on the page "Thông báo".</t>
  </si>
  <si>
    <t xml:space="preserve">1. Open Thông báo as the manager → The page opens</t>
  </si>
  <si>
    <t xml:space="preserve">WKO-01</t>
  </si>
  <si>
    <t xml:space="preserve">Workouts</t>
  </si>
  <si>
    <t xml:space="preserve">Plans and session logs show plan and actual on one row</t>
  </si>
  <si>
    <t xml:space="preserve">AC-20</t>
  </si>
  <si>
    <t xml:space="preserve">A customer's plans and every session log are visible in their profile, with plan and actual on the same row.</t>
  </si>
  <si>
    <t xml:space="preserve">1. Open a customer's Giáo án tab → Plans and logs; plan and actual side by side</t>
  </si>
  <si>
    <t xml:space="preserve">WKO-02</t>
  </si>
  <si>
    <t xml:space="preserve">A Cardio exercise shows time, speed and heart rate</t>
  </si>
  <si>
    <t xml:space="preserve">BR-502</t>
  </si>
  <si>
    <t xml:space="preserve">Cardio rows show time, speed and heart rate instead of weights.</t>
  </si>
  <si>
    <t xml:space="preserve">1. Add a Cardio exercise → Time, speed, HR columns
2. Strength exercise → Weight and reps</t>
  </si>
  <si>
    <t xml:space="preserve">WKO-03</t>
  </si>
  <si>
    <t xml:space="preserve">"Stop + Escalation" waits until a manager or Master handles it</t>
  </si>
  <si>
    <t xml:space="preserve">AC-21</t>
  </si>
  <si>
    <t xml:space="preserve">Choosing Action "Stop + Escalation" notifies the manager and Master, and the item stays in the waiting list until handled.</t>
  </si>
  <si>
    <t xml:space="preserve">1. Coach escalates a set → Manager and Master told; task open
2. Master marks it reviewed with a note → Removed from the waiting list</t>
  </si>
  <si>
    <t xml:space="preserve">WKO-04</t>
  </si>
  <si>
    <t xml:space="preserve">A plan needs Master approval</t>
  </si>
  <si>
    <t xml:space="preserve">BR-504</t>
  </si>
  <si>
    <t xml:space="preserve">Creating and editing plans and templates needs Master approval.</t>
  </si>
  <si>
    <t xml:space="preserve">1. PT sends a plan → Pending
2. Master approves → In use; edits need a new version</t>
  </si>
  <si>
    <t xml:space="preserve">WKO-05</t>
  </si>
  <si>
    <t xml:space="preserve">The weekly workout dashboard gives the right Flag and Action percentages</t>
  </si>
  <si>
    <t xml:space="preserve">The weekly workout dashboard gives the right Flag and Action percentages.</t>
  </si>
  <si>
    <t xml:space="preserve">1. Fixed dataset of sets with flags → Percentages match a hand count</t>
  </si>
  <si>
    <t xml:space="preserve">WKO-06</t>
  </si>
  <si>
    <t xml:space="preserve">The session log works on a phone</t>
  </si>
  <si>
    <t xml:space="preserve">AC-23</t>
  </si>
  <si>
    <t xml:space="preserve">The lead, PT calendar and session log screens work on a phone.</t>
  </si>
  <si>
    <t xml:space="preserve">1. Open the log at phone width → Usable without sideways scrolling</t>
  </si>
  <si>
    <t xml:space="preserve">RPT-01</t>
  </si>
  <si>
    <t xml:space="preserve">Reports</t>
  </si>
  <si>
    <t xml:space="preserve">The consulting dashboard matches the September and October files</t>
  </si>
  <si>
    <t xml:space="preserve">AC-08</t>
  </si>
  <si>
    <t xml:space="preserve">The consulting dashboard gives the right lead counts, booking rate and show rate per consultant compared with the Excel files of September and October 2026.</t>
  </si>
  <si>
    <t xml:space="preserve">1. Compare the dashboard with the files → Same counts and rates</t>
  </si>
  <si>
    <t xml:space="preserve">RPT-02</t>
  </si>
  <si>
    <t xml:space="preserve">PT revenue allocation matches GymMaster</t>
  </si>
  <si>
    <t xml:space="preserve">The PT revenue allocation report matches GymMaster's export on the same data.</t>
  </si>
  <si>
    <t xml:space="preserve">1. Same period in both systems → Same totals per PT</t>
  </si>
  <si>
    <t xml:space="preserve">RPT-03</t>
  </si>
  <si>
    <t xml:space="preserve">Lists export to Excel with the visible columns</t>
  </si>
  <si>
    <t xml:space="preserve">FR-RPT-001</t>
  </si>
  <si>
    <t xml:space="preserve">Reports and lists export to Excel, filtered as on screen.</t>
  </si>
  <si>
    <t xml:space="preserve">1. Export the contract list with a filter → The file has the same rows</t>
  </si>
  <si>
    <t xml:space="preserve">RPT-04</t>
  </si>
  <si>
    <t xml:space="preserve">A list too long to export asks for a filter</t>
  </si>
  <si>
    <t xml:space="preserve">An export that is too long shows "Danh sách quá dài để xuất. Hãy lọc bớt trước."</t>
  </si>
  <si>
    <t xml:space="preserve">1. Export a very large list → The message; no file</t>
  </si>
  <si>
    <t xml:space="preserve">RPT-05</t>
  </si>
  <si>
    <t xml:space="preserve">GymMaster import reconciles</t>
  </si>
  <si>
    <t xml:space="preserve">AC-22</t>
  </si>
  <si>
    <t xml:space="preserve">Data imported from GymMaster matches the number of customers, contract value, paid amounts and sessions left.</t>
  </si>
  <si>
    <t xml:space="preserve">1. Import the files; open the reconciliation → All metrics match</t>
  </si>
  <si>
    <t xml:space="preserve">SEC-01</t>
  </si>
  <si>
    <t xml:space="preserve">Security</t>
  </si>
  <si>
    <t xml:space="preserve">A record id that does not exist shows "Không tìm thấy"</t>
  </si>
  <si>
    <t xml:space="preserve">Opening /contracts/ with an id that does not exist shows "Không tìm thấy", not an error page.</t>
  </si>
  <si>
    <t xml:space="preserve">1. Open /contracts/00000000-0000-4000-8000-000000000000 → "Không tìm thấy"</t>
  </si>
  <si>
    <t xml:space="preserve">INCONCLUSIVE</t>
  </si>
  <si>
    <t xml:space="preserve">SEC-02</t>
  </si>
  <si>
    <t xml:space="preserve">The API refuses a request without a session</t>
  </si>
  <si>
    <t xml:space="preserve">Calling GET /api/v1/customers without signing in is refused with HTTP 401.</t>
  </si>
  <si>
    <t xml:space="preserve">1. GET /api/v1/customers signed out → 401</t>
  </si>
  <si>
    <t xml:space="preserve">SEC-03</t>
  </si>
  <si>
    <t xml:space="preserve">The API refuses an admin endpoint to a receptionist</t>
  </si>
  <si>
    <t xml:space="preserve">A signed-in receptionist calling GET /api/v1/users (Admin only) is refused with HTTP 403.</t>
  </si>
  <si>
    <t xml:space="preserve">1. Sign in as the receptionist; GET /api/v1/users → 403</t>
  </si>
  <si>
    <t xml:space="preserve">SEC-04</t>
  </si>
  <si>
    <t xml:space="preserve">The API refuses lead data to a trainer</t>
  </si>
  <si>
    <t xml:space="preserve">A signed-in PT calling GET /api/v1/leads (no lead permission) is refused with HTTP 403.</t>
  </si>
  <si>
    <t xml:space="preserve">1. Sign in as the trainer; GET /api/v1/leads → 403</t>
  </si>
  <si>
    <t xml:space="preserve">SEC-05</t>
  </si>
  <si>
    <t xml:space="preserve">The OWASP security suite passes for every endpoint</t>
  </si>
  <si>
    <t xml:space="preserve">24_SECURITY_TESTING</t>
  </si>
  <si>
    <t xml:space="preserve">Every endpoint passes the OWASP Top 10 checks in docs/24.</t>
  </si>
  <si>
    <t xml:space="preserve">1. Run the security suite → All checks pass</t>
  </si>
  <si>
    <t xml:space="preserve">Statement (first case)</t>
  </si>
  <si>
    <t xml:space="preserve">Agent results (run 2)</t>
  </si>
  <si>
    <t xml:space="preserve">SEC-05: not drafted</t>
  </si>
  <si>
    <t xml:space="preserve">AUTH-04, AUTH-05, RBAC-01A, RBAC-01B, RBAC-02A, RBAC-02B, RBAC-03A, RBAC-03B, RBAC-04A, RBAC-04B, RBAC-05A, RBAC-05B, RBAC-06A, RBAC-06B, RBAC-07A, RBAC-07B, RBAC-08A, RBAC-08B, RBAC-09A, RBAC-09B, RBAC-10A, RBAC-10B, RBAC-11A, RBAC-11B, RBAC-12A, RBAC-12B, RBAC-13A, RBAC-13B, RBAC-14A, RBAC-14B, RBAC-15A, RBAC-15B, RBAC-16A, RBAC-16B, RBAC-17A, RBAC-17B, RBAC-18A, RBAC-18B, RBAC-19A, RBAC-19B, RBAC-20A, RBAC-20B, RBAC-21A, RBAC-21B, RBAC-22A, RBAC-22B, RBAC-23A, RBAC-23B, RBAC-24A, RBAC-24B, RBAC-25A, RBAC-25B, RBAC-26A, RBAC-26B, RBAC-27A, RBAC-27B, RBAC-28A, RBAC-28B, RBAC-29A, RBAC-29B, RBAC-30A, RBAC-30B, RBAC-M1, RBAC-M2, RBAC-M3, RBAC-M4, RBAC-M6, CON-17, CON-18, MON-14, MON-15, SEC-02, SEC-03, SEC-04</t>
  </si>
  <si>
    <t xml:space="preserve">AUTH-04: PASSED, AUTH-05: PASSED, RBAC-01A: PASSED, RBAC-01B: PASSED, RBAC-02A: PASSED, RBAC-02B: PASSED, RBAC-03A: PASSED, RBAC-03B: PASSED, RBAC-04A: PASSED, RBAC-04B: PASSED, RBAC-05A: PASSED, RBAC-05B: PASSED, RBAC-06A: PASSED, RBAC-06B: PASSED, RBAC-07A: PASSED, RBAC-07B: PASSED, RBAC-08A: PASSED, RBAC-08B: PASSED, RBAC-09A: PASSED, RBAC-09B: PASSED, RBAC-10A: PASSED, RBAC-10B: PASSED, RBAC-11A: PASSED, RBAC-11B: PASSED, RBAC-12A: PASSED, RBAC-12B: PASSED, RBAC-13A: PASSED, RBAC-13B: PASSED, RBAC-14A: PASSED, RBAC-14B: PASSED, RBAC-15A: PASSED, RBAC-15B: PASSED, RBAC-16A: PASSED, RBAC-16B: PASSED, RBAC-17A: PASSED, RBAC-17B: PASSED, RBAC-18A: PASSED, RBAC-18B: PASSED, RBAC-19A: PASSED, RBAC-19B: PASSED, RBAC-20A: PASSED, RBAC-20B: PASSED, RBAC-21A: PASSED, RBAC-21B: PASSED, RBAC-22A: PASSED, RBAC-22B: PASSED, RBAC-23A: PASSED, RBAC-23B: PASSED, RBAC-24A: PASSED, RBAC-24B: PASSED, RBAC-25A: PASSED, RBAC-25B: PASSED, RBAC-26A: PASSED, RBAC-26B: PASSED, RBAC-27A: PASSED, RBAC-27B: PASSED, RBAC-28A: PASSED, RBAC-28B: PASSED, RBAC-29A: PASSED, RBAC-29B: PASSED, RBAC-30A: PASSED, RBAC-30B: PASSED, RBAC-M1: PASSED, RBAC-M2: PASSED, RBAC-M3: PASSED, RBAC-M4: PASSED, RBAC-M6: manual, CON-17: PASSED, CON-18: PASSED, MON-14: PASSED, MON-15: PASSED, SEC-02: PASSED, SEC-03: PASSED, SEC-04: PASSED</t>
  </si>
  <si>
    <t xml:space="preserve">CFG-03, CFG-09</t>
  </si>
  <si>
    <t xml:space="preserve">CFG-03: manual, CFG-09: manual</t>
  </si>
  <si>
    <t xml:space="preserve">CFG-01: manual</t>
  </si>
  <si>
    <t xml:space="preserve">LEAD-15, LEAD-16, LEAD-17</t>
  </si>
  <si>
    <t xml:space="preserve">LEAD-15: PASSED, LEAD-16: PASSED, LEAD-17: PASSED</t>
  </si>
  <si>
    <t xml:space="preserve">APR-01, APR-05</t>
  </si>
  <si>
    <t xml:space="preserve">APR-01: manual, APR-05: manual</t>
  </si>
  <si>
    <t xml:space="preserve">LEAD-40: manual</t>
  </si>
  <si>
    <t xml:space="preserve">RPT-01: manual</t>
  </si>
  <si>
    <t xml:space="preserve">CON-01, CON-02, CON-03, CON-04, CON-05, CON-06, CON-07</t>
  </si>
  <si>
    <t xml:space="preserve">CON-01: PASSED, CON-02: PASSED, CON-03: PASSED, CON-04: PASSED, CON-05: PASSED, CON-06: PASSED, CON-07: FAILED</t>
  </si>
  <si>
    <t xml:space="preserve">CON-22: manual</t>
  </si>
  <si>
    <t xml:space="preserve">TRS-01: manual</t>
  </si>
  <si>
    <t xml:space="preserve">CON-23: manual</t>
  </si>
  <si>
    <t xml:space="preserve">SES-11: manual</t>
  </si>
  <si>
    <t xml:space="preserve">SES-07: manual</t>
  </si>
  <si>
    <t xml:space="preserve">MAIL-01: manual</t>
  </si>
  <si>
    <t xml:space="preserve">MON-12, RPT-02</t>
  </si>
  <si>
    <t xml:space="preserve">MON-12: manual, RPT-02: manual</t>
  </si>
  <si>
    <t xml:space="preserve">MON-08, MON-09</t>
  </si>
  <si>
    <t xml:space="preserve">MON-08: manual, MON-09: manual</t>
  </si>
  <si>
    <t xml:space="preserve">WKO-01: manual</t>
  </si>
  <si>
    <t xml:space="preserve">WKO-03, WKO-05</t>
  </si>
  <si>
    <t xml:space="preserve">WKO-03: manual, WKO-05: manual</t>
  </si>
  <si>
    <t xml:space="preserve">RPT-05: manual</t>
  </si>
  <si>
    <t xml:space="preserve">WKO-06: manual</t>
  </si>
  <si>
    <t xml:space="preserve">BKG-15: manual</t>
  </si>
  <si>
    <t xml:space="preserve">LEAD-01, LEAD-02, LEAD-03, LEAD-04, LEAD-05, LEAD-06, LEAD-07</t>
  </si>
  <si>
    <t xml:space="preserve">LEAD-01: PASSED, LEAD-02: PASSED, LEAD-03: PASSED, LEAD-04: PASSED, LEAD-05: PASSED, LEAD-06: PASSED, LEAD-07: PASSED</t>
  </si>
  <si>
    <t xml:space="preserve">LEAD-32, LEAD-33</t>
  </si>
  <si>
    <t xml:space="preserve">LEAD-32: manual, LEAD-33: manual</t>
  </si>
  <si>
    <t xml:space="preserve">LEAD-38, LEAD-39</t>
  </si>
  <si>
    <t xml:space="preserve">LEAD-38: manual, LEAD-39: manual</t>
  </si>
  <si>
    <t xml:space="preserve">APR-04, TSK-04</t>
  </si>
  <si>
    <t xml:space="preserve">APR-04: manual, TSK-04: manual</t>
  </si>
  <si>
    <t xml:space="preserve">CHK-01, CHK-02</t>
  </si>
  <si>
    <t xml:space="preserve">CHK-01: manual, CHK-02: manual</t>
  </si>
  <si>
    <t xml:space="preserve">CHK-03: manual</t>
  </si>
  <si>
    <t xml:space="preserve">RBAC-M5, RBAC-M8, CUS-16, BKG-17</t>
  </si>
  <si>
    <t xml:space="preserve">RBAC-M5: manual, RBAC-M8: manual, CUS-16: manual, BKG-17: manual</t>
  </si>
  <si>
    <t xml:space="preserve">CFG-02: manual</t>
  </si>
  <si>
    <t xml:space="preserve">CUS-14, APR-02</t>
  </si>
  <si>
    <t xml:space="preserve">CUS-14: manual, APR-02: manual</t>
  </si>
  <si>
    <t xml:space="preserve">MON-11: manual</t>
  </si>
  <si>
    <t xml:space="preserve">TRS-02: manual</t>
  </si>
  <si>
    <t xml:space="preserve">AUD-01: manual</t>
  </si>
  <si>
    <t xml:space="preserve">AUTH-01, AUTH-02, AUTH-03, AUTH-06, AUTH-07, AUTH-08, AUTH-09, AUTH-10, AUTH-11</t>
  </si>
  <si>
    <t xml:space="preserve">AUTH-01: PASSED, AUTH-02: PASSED, AUTH-03: PASSED, AUTH-06: PASSED, AUTH-07: manual, AUTH-08: manual, AUTH-09: manual, AUTH-10: manual, AUTH-11: manual</t>
  </si>
  <si>
    <t xml:space="preserve">LEAD-08, LEAD-09, LEAD-10, LEAD-11, LEAD-12, LEAD-13, LEAD-14, LEAD-18, LEAD-19, LEAD-20, LEAD-21</t>
  </si>
  <si>
    <t xml:space="preserve">LEAD-08: PASSED, LEAD-09: PASSED, LEAD-10: PASSED, LEAD-11: PASSED, LEAD-12: PASSED, LEAD-13: PASSED, LEAD-14: PASSED, LEAD-18: PASSED, LEAD-19: PASSED, LEAD-20: PASSED, LEAD-21: manual</t>
  </si>
  <si>
    <t xml:space="preserve">LEAD-31, LEAD-42</t>
  </si>
  <si>
    <t xml:space="preserve">LEAD-31: PASSED, LEAD-42: manual</t>
  </si>
  <si>
    <t xml:space="preserve">LEAD-34, LEAD-35, LEAD-36</t>
  </si>
  <si>
    <t xml:space="preserve">LEAD-34: manual, LEAD-35: manual, LEAD-36: manual</t>
  </si>
  <si>
    <t xml:space="preserve">LEAD-37: manual</t>
  </si>
  <si>
    <t xml:space="preserve">CUS-01, CUS-02, CUS-03, CUS-04, CUS-05, CUS-06</t>
  </si>
  <si>
    <t xml:space="preserve">CUS-01: PASSED, CUS-02: PASSED, CUS-03: PASSED, CUS-04: PASSED, CUS-05: PASSED, CUS-06: manual</t>
  </si>
  <si>
    <t xml:space="preserve">CON-08: manual</t>
  </si>
  <si>
    <t xml:space="preserve">CON-09: manual</t>
  </si>
  <si>
    <t xml:space="preserve">CON-10: manual</t>
  </si>
  <si>
    <t xml:space="preserve">CON-14, CON-19, CON-20, CON-21</t>
  </si>
  <si>
    <t xml:space="preserve">CON-14: PASSED, CON-19: manual, CON-20: manual, CON-21: manual</t>
  </si>
  <si>
    <t xml:space="preserve">CON-12: PASSED</t>
  </si>
  <si>
    <t xml:space="preserve">CON-24: manual</t>
  </si>
  <si>
    <t xml:space="preserve">CON-11: manual</t>
  </si>
  <si>
    <t xml:space="preserve">CON-29: manual</t>
  </si>
  <si>
    <t xml:space="preserve">SES-01: manual</t>
  </si>
  <si>
    <t xml:space="preserve">CON-13, BKG-01, BKG-02, BKG-03, BKG-04, BKG-05, BKG-06, BKG-07, BKG-08, BKG-09</t>
  </si>
  <si>
    <t xml:space="preserve">CON-13: PASSED, BKG-01: manual, BKG-02: manual, BKG-03: manual, BKG-04: manual, BKG-05: manual, BKG-06: manual, BKG-07: manual, BKG-08: manual, BKG-09: manual</t>
  </si>
  <si>
    <t xml:space="preserve">BKG-10, BKG-11, BKG-12, BKG-16</t>
  </si>
  <si>
    <t xml:space="preserve">BKG-10: manual, BKG-11: manual, BKG-12: manual, BKG-16: manual</t>
  </si>
  <si>
    <t xml:space="preserve">SES-02, SES-03, SES-04</t>
  </si>
  <si>
    <t xml:space="preserve">SES-02: manual, SES-03: manual, SES-04: manual</t>
  </si>
  <si>
    <t xml:space="preserve">SES-05: manual</t>
  </si>
  <si>
    <t xml:space="preserve">SES-08: manual</t>
  </si>
  <si>
    <t xml:space="preserve">SES-09: manual</t>
  </si>
  <si>
    <t xml:space="preserve">SES-06: manual</t>
  </si>
  <si>
    <t xml:space="preserve">CLS-01, CLS-02, CLS-03, CLS-04</t>
  </si>
  <si>
    <t xml:space="preserve">CLS-01: manual, CLS-02: manual, CLS-03: manual, CLS-04: manual</t>
  </si>
  <si>
    <t xml:space="preserve">WKO-02: manual</t>
  </si>
  <si>
    <t xml:space="preserve">WKO-04: manual</t>
  </si>
  <si>
    <t xml:space="preserve">MON-06: manual</t>
  </si>
  <si>
    <t xml:space="preserve">CON-15, MON-07</t>
  </si>
  <si>
    <t xml:space="preserve">CON-15: PASSED, MON-07: manual</t>
  </si>
  <si>
    <t xml:space="preserve">MON-01, MON-02, MON-05, MON-13</t>
  </si>
  <si>
    <t xml:space="preserve">MON-01: manual, MON-02: manual, MON-05: manual, MON-13: not drafted</t>
  </si>
  <si>
    <t xml:space="preserve">MON-03, MON-04</t>
  </si>
  <si>
    <t xml:space="preserve">MON-03: manual, MON-04: manual</t>
  </si>
  <si>
    <t xml:space="preserve">MON-10: manual</t>
  </si>
  <si>
    <t xml:space="preserve">MAIL-02: manual</t>
  </si>
  <si>
    <t xml:space="preserve">TSK-03: manual</t>
  </si>
  <si>
    <t xml:space="preserve">CUS-15: manual</t>
  </si>
  <si>
    <t xml:space="preserve">CON-26: manual</t>
  </si>
  <si>
    <t xml:space="preserve">CON-25, CON-27</t>
  </si>
  <si>
    <t xml:space="preserve">CON-25: manual, CON-27: manual</t>
  </si>
  <si>
    <t xml:space="preserve">CON-28: manual</t>
  </si>
  <si>
    <t xml:space="preserve">CON-16, SEC-01</t>
  </si>
  <si>
    <t xml:space="preserve">CON-16: PASSED, SEC-01: INCONCLUSIVE</t>
  </si>
  <si>
    <t xml:space="preserve">CUS-11, CUS-12</t>
  </si>
  <si>
    <t xml:space="preserve">CUS-11: manual, CUS-12: manual</t>
  </si>
  <si>
    <t xml:space="preserve">CUS-07, CUS-08, CUS-09</t>
  </si>
  <si>
    <t xml:space="preserve">CUS-07: PASSED, CUS-08: PASSED, CUS-09: PASSED</t>
  </si>
  <si>
    <t xml:space="preserve">CUS-10: PASSED</t>
  </si>
  <si>
    <t xml:space="preserve">CUS-13: manual</t>
  </si>
  <si>
    <t xml:space="preserve">LEAD-29: manual</t>
  </si>
  <si>
    <t xml:space="preserve">LEAD-27, LEAD-28</t>
  </si>
  <si>
    <t xml:space="preserve">LEAD-27: PASSED, LEAD-28: manual</t>
  </si>
  <si>
    <t xml:space="preserve">LEAD-41: manual</t>
  </si>
  <si>
    <t xml:space="preserve">LEAD-23, LEAD-24, LEAD-25, LEAD-26, LEAD-30</t>
  </si>
  <si>
    <t xml:space="preserve">LEAD-23: PASSED, LEAD-24: PASSED, LEAD-25: PASSED, LEAD-26: PASSED, LEAD-30: PASSED</t>
  </si>
  <si>
    <t xml:space="preserve">LEAD-22: manual</t>
  </si>
  <si>
    <t xml:space="preserve">LEAD-43: manual</t>
  </si>
  <si>
    <t xml:space="preserve">MAIL-03: manual</t>
  </si>
  <si>
    <t xml:space="preserve">CFG-04: manual</t>
  </si>
  <si>
    <t xml:space="preserve">RBAC-M7: manual</t>
  </si>
  <si>
    <t xml:space="preserve">APR-03, APR-06</t>
  </si>
  <si>
    <t xml:space="preserve">APR-03: manual, APR-06: PASSED</t>
  </si>
  <si>
    <t xml:space="preserve">NTF-01: PASSED</t>
  </si>
  <si>
    <t xml:space="preserve">BKG-14, BKG-18</t>
  </si>
  <si>
    <t xml:space="preserve">BKG-14: manual, BKG-18: PASSED</t>
  </si>
  <si>
    <t xml:space="preserve">BKG-13: manual</t>
  </si>
  <si>
    <t xml:space="preserve">SES-10: manual</t>
  </si>
  <si>
    <t xml:space="preserve">RPT-03, RPT-04</t>
  </si>
  <si>
    <t xml:space="preserve">RPT-03: manual, RPT-04: manual</t>
  </si>
  <si>
    <t xml:space="preserve">CFG-06: manual</t>
  </si>
  <si>
    <t xml:space="preserve">CFG-05, CFG-08</t>
  </si>
  <si>
    <t xml:space="preserve">CFG-05: manual, CFG-08: manual</t>
  </si>
  <si>
    <t xml:space="preserve">CFG-07: manual</t>
  </si>
  <si>
    <t xml:space="preserve">TSK-01: manual</t>
  </si>
  <si>
    <t xml:space="preserve">TSK-02: manual</t>
  </si>
  <si>
    <t xml:space="preserve">TSK-05: PASSED</t>
  </si>
  <si>
    <t xml:space="preserve">Test design artifacts: each table is the design a technique produced; the last column names the cases derived from it.</t>
  </si>
  <si>
    <t xml:space="preserve">Sign-in, sessions, roles and permissions: Sign-in credentials</t>
  </si>
  <si>
    <t xml:space="preserve">Partition</t>
  </si>
  <si>
    <t xml:space="preserve">Example</t>
  </si>
  <si>
    <t xml:space="preserve">Expected</t>
  </si>
  <si>
    <t xml:space="preserve">Valid email + correct password</t>
  </si>
  <si>
    <t xml:space="preserve">demo-manager + password</t>
  </si>
  <si>
    <t xml:space="preserve">Dashboard</t>
  </si>
  <si>
    <t xml:space="preserve">Valid email + wrong password</t>
  </si>
  <si>
    <t xml:space="preserve">demo-manager + wrong</t>
  </si>
  <si>
    <t xml:space="preserve">Generic message</t>
  </si>
  <si>
    <t xml:space="preserve">Unknown email</t>
  </si>
  <si>
    <t xml:space="preserve">nobody@…</t>
  </si>
  <si>
    <t xml:space="preserve">Same generic message</t>
  </si>
  <si>
    <t xml:space="preserve">Disabled account</t>
  </si>
  <si>
    <t xml:space="preserve">disabled user</t>
  </si>
  <si>
    <t xml:space="preserve">Outside allowed hours</t>
  </si>
  <si>
    <t xml:space="preserve">restricted user</t>
  </si>
  <si>
    <t xml:space="preserve">Refused, logged</t>
  </si>
  <si>
    <t xml:space="preserve">Sign-in, sessions, roles and permissions: Session</t>
  </si>
  <si>
    <t xml:space="preserve">From</t>
  </si>
  <si>
    <t xml:space="preserve">Event</t>
  </si>
  <si>
    <t xml:space="preserve">To</t>
  </si>
  <si>
    <t xml:space="preserve">Signed out</t>
  </si>
  <si>
    <t xml:space="preserve">Open a protected page</t>
  </si>
  <si>
    <t xml:space="preserve">Login page</t>
  </si>
  <si>
    <t xml:space="preserve">AUTH-04, AUTH-05</t>
  </si>
  <si>
    <t xml:space="preserve">Valid sign-in</t>
  </si>
  <si>
    <t xml:space="preserve">Signed in (dashboard)</t>
  </si>
  <si>
    <t xml:space="preserve">Đăng xuất</t>
  </si>
  <si>
    <t xml:space="preserve">12 h without activity</t>
  </si>
  <si>
    <t xml:space="preserve">Sign-in, sessions, roles and permissions: Sign-in rate limit (20 per 60 s per IP)</t>
  </si>
  <si>
    <t xml:space="preserve">Attempt in the window</t>
  </si>
  <si>
    <t xml:space="preserve">Case</t>
  </si>
  <si>
    <t xml:space="preserve">20th</t>
  </si>
  <si>
    <t xml:space="preserve">Processed</t>
  </si>
  <si>
    <t xml:space="preserve">21st</t>
  </si>
  <si>
    <t xml:space="preserve">HTTP 429</t>
  </si>
  <si>
    <t xml:space="preserve">Sign-in, sessions, roles and permissions: Page access by privilege boundary (expected from docs/09_RBAC.md)</t>
  </si>
  <si>
    <t xml:space="preserve">Page</t>
  </si>
  <si>
    <t xml:space="preserve">Permission</t>
  </si>
  <si>
    <t xml:space="preserve">Allowed (least privileged)</t>
  </si>
  <si>
    <t xml:space="preserve">Refused (most privileged)</t>
  </si>
  <si>
    <t xml:space="preserve">/admin/users</t>
  </si>
  <si>
    <t xml:space="preserve">user.manage</t>
  </si>
  <si>
    <t xml:space="preserve">Admin</t>
  </si>
  <si>
    <t xml:space="preserve">Fitness Manager</t>
  </si>
  <si>
    <t xml:space="preserve">RBAC-01A/B</t>
  </si>
  <si>
    <t xml:space="preserve">/admin/roles</t>
  </si>
  <si>
    <t xml:space="preserve">role.manage</t>
  </si>
  <si>
    <t xml:space="preserve">RBAC-02A/B</t>
  </si>
  <si>
    <t xml:space="preserve">/admin/options</t>
  </si>
  <si>
    <t xml:space="preserve">config.manage</t>
  </si>
  <si>
    <t xml:space="preserve">RBAC-03A/B</t>
  </si>
  <si>
    <t xml:space="preserve">/admin/parameters</t>
  </si>
  <si>
    <t xml:space="preserve">RBAC-04A/B</t>
  </si>
  <si>
    <t xml:space="preserve">/admin/trash</t>
  </si>
  <si>
    <t xml:space="preserve">trash.view</t>
  </si>
  <si>
    <t xml:space="preserve">RBAC-05A/B</t>
  </si>
  <si>
    <t xml:space="preserve">/admin/audit</t>
  </si>
  <si>
    <t xml:space="preserve">audit.view</t>
  </si>
  <si>
    <t xml:space="preserve">RBAC-06A/B</t>
  </si>
  <si>
    <t xml:space="preserve">/admin/system</t>
  </si>
  <si>
    <t xml:space="preserve">system.view</t>
  </si>
  <si>
    <t xml:space="preserve">RBAC-07A/B</t>
  </si>
  <si>
    <t xml:space="preserve">/admin/approvals</t>
  </si>
  <si>
    <t xml:space="preserve">approval.manage</t>
  </si>
  <si>
    <t xml:space="preserve">RBAC-08A/B</t>
  </si>
  <si>
    <t xml:space="preserve">/admin/email-templates</t>
  </si>
  <si>
    <t xml:space="preserve">mail.template</t>
  </si>
  <si>
    <t xml:space="preserve">RBAC-09A/B</t>
  </si>
  <si>
    <t xml:space="preserve">/admin/intake</t>
  </si>
  <si>
    <t xml:space="preserve">intake.manage</t>
  </si>
  <si>
    <t xml:space="preserve">RBAC-10A/B</t>
  </si>
  <si>
    <t xml:space="preserve">/admin/promotions</t>
  </si>
  <si>
    <t xml:space="preserve">Receptionist</t>
  </si>
  <si>
    <t xml:space="preserve">RBAC-11A/B</t>
  </si>
  <si>
    <t xml:space="preserve">/admin/services</t>
  </si>
  <si>
    <t xml:space="preserve">service.view</t>
  </si>
  <si>
    <t xml:space="preserve">PT</t>
  </si>
  <si>
    <t xml:space="preserve">RBAC-12A/B</t>
  </si>
  <si>
    <t xml:space="preserve">/leads</t>
  </si>
  <si>
    <t xml:space="preserve">lead.view</t>
  </si>
  <si>
    <t xml:space="preserve">RBAC-13A/B</t>
  </si>
  <si>
    <t xml:space="preserve">/leads/audit</t>
  </si>
  <si>
    <t xml:space="preserve">lead.audit</t>
  </si>
  <si>
    <t xml:space="preserve">RBAC-14A/B</t>
  </si>
  <si>
    <t xml:space="preserve">/leads/receivers</t>
  </si>
  <si>
    <t xml:space="preserve">lead.assign</t>
  </si>
  <si>
    <t xml:space="preserve">Consulting</t>
  </si>
  <si>
    <t xml:space="preserve">RBAC-15A/B</t>
  </si>
  <si>
    <t xml:space="preserve">/employees</t>
  </si>
  <si>
    <t xml:space="preserve">employee.view</t>
  </si>
  <si>
    <t xml:space="preserve">RBAC-16A/B</t>
  </si>
  <si>
    <t xml:space="preserve">/reports/pt-revenue</t>
  </si>
  <si>
    <t xml:space="preserve">report.ptRevenue</t>
  </si>
  <si>
    <t xml:space="preserve">Kế toán (custom role)</t>
  </si>
  <si>
    <t xml:space="preserve">RBAC-17A/B</t>
  </si>
  <si>
    <t xml:space="preserve">/reports/pt-payouts</t>
  </si>
  <si>
    <t xml:space="preserve">payout.view</t>
  </si>
  <si>
    <t xml:space="preserve">RBAC-18A/B</t>
  </si>
  <si>
    <t xml:space="preserve">/reports/bookings</t>
  </si>
  <si>
    <t xml:space="preserve">report.bookings</t>
  </si>
  <si>
    <t xml:space="preserve">RBAC-19A/B</t>
  </si>
  <si>
    <t xml:space="preserve">/reports/tasks</t>
  </si>
  <si>
    <t xml:space="preserve">report.tasks</t>
  </si>
  <si>
    <t xml:space="preserve">RBAC-20A/B</t>
  </si>
  <si>
    <t xml:space="preserve">/reports/workouts</t>
  </si>
  <si>
    <t xml:space="preserve">report.workouts</t>
  </si>
  <si>
    <t xml:space="preserve">RBAC-21A/B</t>
  </si>
  <si>
    <t xml:space="preserve">/reports/lead-analysis</t>
  </si>
  <si>
    <t xml:space="preserve">report.leadAnalysis</t>
  </si>
  <si>
    <t xml:space="preserve">RBAC-22A/B</t>
  </si>
  <si>
    <t xml:space="preserve">/reports/consulting</t>
  </si>
  <si>
    <t xml:space="preserve">report.consulting</t>
  </si>
  <si>
    <t xml:space="preserve">RBAC-23A/B</t>
  </si>
  <si>
    <t xml:space="preserve">/reports/cash-book</t>
  </si>
  <si>
    <t xml:space="preserve">report.cashBook</t>
  </si>
  <si>
    <t xml:space="preserve">RBAC-24A/B</t>
  </si>
  <si>
    <t xml:space="preserve">/finance/cash</t>
  </si>
  <si>
    <t xml:space="preserve">cash.manage</t>
  </si>
  <si>
    <t xml:space="preserve">RBAC-25A/B</t>
  </si>
  <si>
    <t xml:space="preserve">/finance/payments</t>
  </si>
  <si>
    <t xml:space="preserve">payment.view</t>
  </si>
  <si>
    <t xml:space="preserve">RBAC-26A/B</t>
  </si>
  <si>
    <t xml:space="preserve">/workouts/plans</t>
  </si>
  <si>
    <t xml:space="preserve">workout.view</t>
  </si>
  <si>
    <t xml:space="preserve">RBAC-27A/B</t>
  </si>
  <si>
    <t xml:space="preserve">/admin/workout-catalog</t>
  </si>
  <si>
    <t xml:space="preserve">RBAC-28A/B</t>
  </si>
  <si>
    <t xml:space="preserve">/calendar</t>
  </si>
  <si>
    <t xml:space="preserve">booking.view</t>
  </si>
  <si>
    <t xml:space="preserve">RBAC-29A/B</t>
  </si>
  <si>
    <t xml:space="preserve">/classes</t>
  </si>
  <si>
    <t xml:space="preserve">class.view</t>
  </si>
  <si>
    <t xml:space="preserve">RBAC-30A/B</t>
  </si>
  <si>
    <t xml:space="preserve">Leads and consulting: Lead name</t>
  </si>
  <si>
    <t xml:space="preserve">Valid (1–150)</t>
  </si>
  <si>
    <t xml:space="preserve">"QA LEAD-01"</t>
  </si>
  <si>
    <t xml:space="preserve">Saved</t>
  </si>
  <si>
    <t xml:space="preserve">LEAD-01, LEAD-04, LEAD-05</t>
  </si>
  <si>
    <t xml:space="preserve">Empty</t>
  </si>
  <si>
    <t xml:space="preserve">""</t>
  </si>
  <si>
    <t xml:space="preserve">Bắt buộc nhập.</t>
  </si>
  <si>
    <t xml:space="preserve">Spaces only</t>
  </si>
  <si>
    <t xml:space="preserve">"   "</t>
  </si>
  <si>
    <t xml:space="preserve">Too long (&gt;150)</t>
  </si>
  <si>
    <t xml:space="preserve">151 × Q</t>
  </si>
  <si>
    <t xml:space="preserve">Quá dài.</t>
  </si>
  <si>
    <t xml:space="preserve">Markup</t>
  </si>
  <si>
    <t xml:space="preserve">&lt;b&gt;…&lt;/b&gt;</t>
  </si>
  <si>
    <t xml:space="preserve">Shown as text</t>
  </si>
  <si>
    <t xml:space="preserve">Control characters</t>
  </si>
  <si>
    <t xml:space="preserve">\u0007</t>
  </si>
  <si>
    <t xml:space="preserve">Có ký tự không hợp lệ.</t>
  </si>
  <si>
    <t xml:space="preserve">Leads and consulting: Lead name length (1–150) and phone digits (8–15)</t>
  </si>
  <si>
    <t xml:space="preserve">Field</t>
  </si>
  <si>
    <t xml:space="preserve">Value</t>
  </si>
  <si>
    <t xml:space="preserve">Name</t>
  </si>
  <si>
    <t xml:space="preserve">0 chars</t>
  </si>
  <si>
    <t xml:space="preserve">1 char</t>
  </si>
  <si>
    <t xml:space="preserve">Accepted</t>
  </si>
  <si>
    <t xml:space="preserve">150 chars</t>
  </si>
  <si>
    <t xml:space="preserve">151 chars</t>
  </si>
  <si>
    <t xml:space="preserve">Phone</t>
  </si>
  <si>
    <t xml:space="preserve">7 digits</t>
  </si>
  <si>
    <t xml:space="preserve">Số điện thoại không hợp lệ.</t>
  </si>
  <si>
    <t xml:space="preserve">8 digits</t>
  </si>
  <si>
    <t xml:space="preserve">15 digits</t>
  </si>
  <si>
    <t xml:space="preserve">16 digits</t>
  </si>
  <si>
    <t xml:space="preserve">Leads and consulting: Lead phone</t>
  </si>
  <si>
    <t xml:space="preserve">Empty (optional)</t>
  </si>
  <si>
    <t xml:space="preserve">Digits only</t>
  </si>
  <si>
    <t xml:space="preserve">09123456</t>
  </si>
  <si>
    <t xml:space="preserve">With spaces</t>
  </si>
  <si>
    <t xml:space="preserve">0912 345 678</t>
  </si>
  <si>
    <t xml:space="preserve">Normalized, accepted</t>
  </si>
  <si>
    <t xml:space="preserve">International</t>
  </si>
  <si>
    <t xml:space="preserve">+84912345678</t>
  </si>
  <si>
    <t xml:space="preserve">With letters</t>
  </si>
  <si>
    <t xml:space="preserve">09abc45678</t>
  </si>
  <si>
    <t xml:space="preserve">Invalid</t>
  </si>
  <si>
    <t xml:space="preserve">Already a customer's</t>
  </si>
  <si>
    <t xml:space="preserve">0909123456</t>
  </si>
  <si>
    <t xml:space="preserve">Merge prompt</t>
  </si>
  <si>
    <t xml:space="preserve">Already a lead's</t>
  </si>
  <si>
    <t xml:space="preserve">0901234508</t>
  </si>
  <si>
    <t xml:space="preserve">Leads and consulting: Channel "Khác" and the note (AC-04)</t>
  </si>
  <si>
    <t xml:space="preserve">Channel is "Khác"</t>
  </si>
  <si>
    <t xml:space="preserve">Note given</t>
  </si>
  <si>
    <t xml:space="preserve">Yes</t>
  </si>
  <si>
    <t xml:space="preserve">No</t>
  </si>
  <si>
    <t xml:space="preserve">Refused: Đã chọn "Khác" thì phải ghi rõ.</t>
  </si>
  <si>
    <t xml:space="preserve">— (no field)</t>
  </si>
  <si>
    <t xml:space="preserve">None chosen</t>
  </si>
  <si>
    <t xml:space="preserve">—</t>
  </si>
  <si>
    <t xml:space="preserve">Leads and consulting: Converting a lead at Show (BR-206)</t>
  </si>
  <si>
    <t xml:space="preserve">ID document</t>
  </si>
  <si>
    <t xml:space="preserve">Birth date</t>
  </si>
  <si>
    <t xml:space="preserve">Nationality</t>
  </si>
  <si>
    <t xml:space="preserve">Email</t>
  </si>
  <si>
    <t xml:space="preserve">✓</t>
  </si>
  <si>
    <t xml:space="preserve">Converted, same ID</t>
  </si>
  <si>
    <t xml:space="preserve">Refused</t>
  </si>
  <si>
    <t xml:space="preserve">Leads and consulting: Lead status (BR-204)</t>
  </si>
  <si>
    <t xml:space="preserve">Mới</t>
  </si>
  <si>
    <t xml:space="preserve">Start consulting</t>
  </si>
  <si>
    <t xml:space="preserve">Đang tư vấn</t>
  </si>
  <si>
    <t xml:space="preserve">Appointment</t>
  </si>
  <si>
    <t xml:space="preserve">Đã đặt lịch</t>
  </si>
  <si>
    <t xml:space="preserve">Came</t>
  </si>
  <si>
    <t xml:space="preserve">Show → customer</t>
  </si>
  <si>
    <t xml:space="preserve">Did not come</t>
  </si>
  <si>
    <t xml:space="preserve">No show → re-care</t>
  </si>
  <si>
    <t xml:space="preserve">Any open</t>
  </si>
  <si>
    <t xml:space="preserve">Refused + reason</t>
  </si>
  <si>
    <t xml:space="preserve">Từ chối → re-care +15 days</t>
  </si>
  <si>
    <t xml:space="preserve">No answer</t>
  </si>
  <si>
    <t xml:space="preserve">Chưa phản hồi → re-care</t>
  </si>
  <si>
    <t xml:space="preserve">Customers and contracts: Customer standing (BR-207, A-131)</t>
  </si>
  <si>
    <t xml:space="preserve">Demo customer</t>
  </si>
  <si>
    <t xml:space="preserve">Expected badge</t>
  </si>
  <si>
    <t xml:space="preserve">A contract running</t>
  </si>
  <si>
    <t xml:space="preserve">Lê Minh Tuấn</t>
  </si>
  <si>
    <t xml:space="preserve">Đang tập</t>
  </si>
  <si>
    <t xml:space="preserve">Ends within 30 days</t>
  </si>
  <si>
    <t xml:space="preserve">Đinh Công Sơn (30 days)</t>
  </si>
  <si>
    <t xml:space="preserve">Sắp hết hạn</t>
  </si>
  <si>
    <t xml:space="preserve">All contracts ended</t>
  </si>
  <si>
    <t xml:space="preserve">Ngô Gia Bảo</t>
  </si>
  <si>
    <t xml:space="preserve">Hết hạn</t>
  </si>
  <si>
    <t xml:space="preserve">No approved contract (cancelled)</t>
  </si>
  <si>
    <t xml:space="preserve">Phan Thị Kim Ngân</t>
  </si>
  <si>
    <t xml:space="preserve">Chưa có hợp đồng</t>
  </si>
  <si>
    <t xml:space="preserve">Customer inactive</t>
  </si>
  <si>
    <t xml:space="preserve">Lý Thị Hoa</t>
  </si>
  <si>
    <t xml:space="preserve">Ngừng hoạt động</t>
  </si>
  <si>
    <t xml:space="preserve">Customers and contracts: Sessions on a new contract (1–1000)</t>
  </si>
  <si>
    <t xml:space="preserve">0</t>
  </si>
  <si>
    <t xml:space="preserve">Refused on save: Nhập một số nguyên từ 1 đến 1000.</t>
  </si>
  <si>
    <t xml:space="preserve">1</t>
  </si>
  <si>
    <t xml:space="preserve">PT 1 buổi, 500.000 ₫</t>
  </si>
  <si>
    <t xml:space="preserve">24 (typical)</t>
  </si>
  <si>
    <t xml:space="preserve">PT 24 buổi, 12.000.000 ₫</t>
  </si>
  <si>
    <t xml:space="preserve">1000</t>
  </si>
  <si>
    <t xml:space="preserve">PT 1000 buổi, 500.000.000 ₫</t>
  </si>
  <si>
    <t xml:space="preserve">1001</t>
  </si>
  <si>
    <t xml:space="preserve">Refused on save; preview explains the range</t>
  </si>
  <si>
    <t xml:space="preserve">CON-05, CON-07</t>
  </si>
  <si>
    <t xml:space="preserve">abc</t>
  </si>
  <si>
    <t xml:space="preserve">Refused on save</t>
  </si>
  <si>
    <t xml:space="preserve">Customers and contracts: Expiring soon (30 days, A-131)</t>
  </si>
  <si>
    <t xml:space="preserve">Days to the end</t>
  </si>
  <si>
    <t xml:space="preserve">31</t>
  </si>
  <si>
    <t xml:space="preserve">30</t>
  </si>
  <si>
    <t xml:space="preserve">CUS-02, CUS-06</t>
  </si>
  <si>
    <t xml:space="preserve">−1</t>
  </si>
  <si>
    <t xml:space="preserve">Customers and contracts: Contract status</t>
  </si>
  <si>
    <t xml:space="preserve">Create</t>
  </si>
  <si>
    <t xml:space="preserve">Chờ duyệt (editable)</t>
  </si>
  <si>
    <t xml:space="preserve">Chờ duyệt</t>
  </si>
  <si>
    <t xml:space="preserve">Approved by another person</t>
  </si>
  <si>
    <t xml:space="preserve">Đang hiệu lực (locked)</t>
  </si>
  <si>
    <t xml:space="preserve">CON-12, CON-19</t>
  </si>
  <si>
    <t xml:space="preserve">Rejected with reason</t>
  </si>
  <si>
    <t xml:space="preserve">Đã từ chối</t>
  </si>
  <si>
    <t xml:space="preserve">Đang hiệu lực</t>
  </si>
  <si>
    <t xml:space="preserve">Unapprove (no receipts/sessions)</t>
  </si>
  <si>
    <t xml:space="preserve">Deactivate with reason</t>
  </si>
  <si>
    <t xml:space="preserve">Tạm vô hiệu</t>
  </si>
  <si>
    <t xml:space="preserve">Reactivate (admin confirms)</t>
  </si>
  <si>
    <t xml:space="preserve">Đang hiệu lực, end + frozen days once</t>
  </si>
  <si>
    <t xml:space="preserve">End date passes</t>
  </si>
  <si>
    <t xml:space="preserve">Cancellation approved</t>
  </si>
  <si>
    <t xml:space="preserve">Đã hủy</t>
  </si>
  <si>
    <t xml:space="preserve">CON-14, CON-27</t>
  </si>
  <si>
    <t xml:space="preserve">Customers and contracts: Deleting a contract (BR-306)</t>
  </si>
  <si>
    <t xml:space="preserve">Has receipts</t>
  </si>
  <si>
    <t xml:space="preserve">Has sessions</t>
  </si>
  <si>
    <t xml:space="preserve">Has change vouchers</t>
  </si>
  <si>
    <t xml:space="preserve">Deleted to the trash with reason (Admin approval)</t>
  </si>
  <si>
    <t xml:space="preserve">Blocked; receipts listed</t>
  </si>
  <si>
    <t xml:space="preserve">Blocked</t>
  </si>
  <si>
    <t xml:space="preserve">PT booking, sessions, classes and check-in: Can this contract be booked? (BR-402, BR-403)</t>
  </si>
  <si>
    <t xml:space="preserve">Approved</t>
  </si>
  <si>
    <t xml:space="preserve">Active (not frozen)</t>
  </si>
  <si>
    <t xml:space="preserve">Sessions left</t>
  </si>
  <si>
    <t xml:space="preserve">Within dates</t>
  </si>
  <si>
    <t xml:space="preserve">Within service hours</t>
  </si>
  <si>
    <t xml:space="preserve">Trainer free</t>
  </si>
  <si>
    <t xml:space="preserve">Customer free</t>
  </si>
  <si>
    <t xml:space="preserve">Y</t>
  </si>
  <si>
    <t xml:space="preserve">Booked</t>
  </si>
  <si>
    <t xml:space="preserve">N</t>
  </si>
  <si>
    <t xml:space="preserve">Không ở trạng thái hiệu lực</t>
  </si>
  <si>
    <t xml:space="preserve">Y (expired)</t>
  </si>
  <si>
    <t xml:space="preserve">Y (cancelled)</t>
  </si>
  <si>
    <t xml:space="preserve">N (frozen)</t>
  </si>
  <si>
    <t xml:space="preserve">Hợp đồng đang bị khóa</t>
  </si>
  <si>
    <t xml:space="preserve">Không còn buổi tập</t>
  </si>
  <si>
    <t xml:space="preserve">Ngoài thời hạn</t>
  </si>
  <si>
    <t xml:space="preserve">Ngoài khung giờ</t>
  </si>
  <si>
    <t xml:space="preserve">Huấn luyện viên trùng giờ</t>
  </si>
  <si>
    <t xml:space="preserve">Khách trùng giờ</t>
  </si>
  <si>
    <t xml:space="preserve">PT booking, sessions, classes and check-in: Session status rules (BR-404)</t>
  </si>
  <si>
    <t xml:space="preserve">Status</t>
  </si>
  <si>
    <t xml:space="preserve">Consumes a session</t>
  </si>
  <si>
    <t xml:space="preserve">Credits the PT</t>
  </si>
  <si>
    <t xml:space="preserve">Đã tập</t>
  </si>
  <si>
    <t xml:space="preserve">Khách không đến</t>
  </si>
  <si>
    <t xml:space="preserve">Hủy lịch</t>
  </si>
  <si>
    <t xml:space="preserve">Deleted</t>
  </si>
  <si>
    <t xml:space="preserve">No (refunded)</t>
  </si>
  <si>
    <t xml:space="preserve">No (credit removed)</t>
  </si>
  <si>
    <t xml:space="preserve">Burn Show</t>
  </si>
  <si>
    <t xml:space="preserve">PT booking, sessions, classes and check-in: Session</t>
  </si>
  <si>
    <t xml:space="preserve">Book</t>
  </si>
  <si>
    <t xml:space="preserve">Booked (nothing consumed)</t>
  </si>
  <si>
    <t xml:space="preserve">Check-in pair</t>
  </si>
  <si>
    <t xml:space="preserve">Mark</t>
  </si>
  <si>
    <t xml:space="preserve">Đã tập / Khách không đến / Hủy lịch</t>
  </si>
  <si>
    <t xml:space="preserve">SES-02..04</t>
  </si>
  <si>
    <t xml:space="preserve">Any change</t>
  </si>
  <si>
    <t xml:space="preserve">Refused (final)</t>
  </si>
  <si>
    <t xml:space="preserve">Admin delete with reason</t>
  </si>
  <si>
    <t xml:space="preserve">Deleted, refunded</t>
  </si>
  <si>
    <t xml:space="preserve">PT booking, sessions, classes and check-in: Time boundaries</t>
  </si>
  <si>
    <t xml:space="preserve">Rule</t>
  </si>
  <si>
    <t xml:space="preserve">Below</t>
  </si>
  <si>
    <t xml:space="preserve">At</t>
  </si>
  <si>
    <t xml:space="preserve">Above</t>
  </si>
  <si>
    <t xml:space="preserve">Overlap (same PT)</t>
  </si>
  <si>
    <t xml:space="preserve">17:00–18:00 + 18:00–19:00 OK</t>
  </si>
  <si>
    <t xml:space="preserve">touching ends OK</t>
  </si>
  <si>
    <t xml:space="preserve">17:30 start refused</t>
  </si>
  <si>
    <t xml:space="preserve">End after start</t>
  </si>
  <si>
    <t xml:space="preserve">end &lt; start refused</t>
  </si>
  <si>
    <t xml:space="preserve">end = start refused</t>
  </si>
  <si>
    <t xml:space="preserve">end &gt; start OK</t>
  </si>
  <si>
    <t xml:space="preserve">Scan pairing window</t>
  </si>
  <si>
    <t xml:space="preserve">14 min paired</t>
  </si>
  <si>
    <t xml:space="preserve">15 min paired</t>
  </si>
  <si>
    <t xml:space="preserve">16 min not paired</t>
  </si>
  <si>
    <t xml:space="preserve">Class capacity 10</t>
  </si>
  <si>
    <t xml:space="preserve">9 → enroll OK</t>
  </si>
  <si>
    <t xml:space="preserve">10 → full</t>
  </si>
  <si>
    <t xml:space="preserve">11th refused</t>
  </si>
  <si>
    <t xml:space="preserve">Money, approvals, configuration, tasks, workouts, reports and security: Receipt amount on a contract owing 12.000.000 ₫ (BR-603, BR-604)</t>
  </si>
  <si>
    <t xml:space="preserve">Amount</t>
  </si>
  <si>
    <t xml:space="preserve">Số tiền phải lớn hơn 0.</t>
  </si>
  <si>
    <t xml:space="preserve">12.000.000 (= debt)</t>
  </si>
  <si>
    <t xml:space="preserve">12.000.001 (debt + 1)</t>
  </si>
  <si>
    <t xml:space="preserve">Vượt giá trị hợp đồng</t>
  </si>
  <si>
    <t xml:space="preserve">Money, approvals, configuration, tasks, workouts, reports and security: Does a receipt count toward paid and debt? (BR-602)</t>
  </si>
  <si>
    <t xml:space="preserve">Counts</t>
  </si>
  <si>
    <t xml:space="preserve">No (pending)</t>
  </si>
  <si>
    <t xml:space="preserve">MON-07, MON-11</t>
  </si>
  <si>
    <t xml:space="preserve">Money, approvals, configuration, tasks, workouts, reports and security: Approval of a submitted action (BR-103)</t>
  </si>
  <si>
    <t xml:space="preserve">Action in the matrix</t>
  </si>
  <si>
    <t xml:space="preserve">Approver is the submitter</t>
  </si>
  <si>
    <t xml:space="preserve">Takes effect on approval</t>
  </si>
  <si>
    <t xml:space="preserve">APR-01, APR-02</t>
  </si>
  <si>
    <t xml:space="preserve">No (switched off)</t>
  </si>
  <si>
    <t xml:space="preserve">Takes effect at once</t>
  </si>
  <si>
    <t xml:space="preserve">Money, approvals, configuration, tasks, workouts, reports and security: Task</t>
  </si>
  <si>
    <t xml:space="preserve">New</t>
  </si>
  <si>
    <t xml:space="preserve">Assignee accepts</t>
  </si>
  <si>
    <t xml:space="preserve">Starts</t>
  </si>
  <si>
    <t xml:space="preserve">In progress</t>
  </si>
  <si>
    <t xml:space="preserve">Finishes</t>
  </si>
  <si>
    <t xml:space="preserve">Done</t>
  </si>
  <si>
    <t xml:space="preserve">Assigner cancels</t>
  </si>
  <si>
    <t xml:space="preserve">Cancelled</t>
  </si>
  <si>
    <t xml:space="preserve">Deadline passes</t>
  </si>
  <si>
    <t xml:space="preserve">Overdue (highlighted)</t>
  </si>
  <si>
    <t xml:space="preserve">Money, approvals, configuration, tasks, workouts, reports and security: Other limits</t>
  </si>
  <si>
    <t xml:space="preserve">Values</t>
  </si>
  <si>
    <t xml:space="preserve">Task title (1–200)</t>
  </si>
  <si>
    <t xml:space="preserve">0 / 200 / 201</t>
  </si>
  <si>
    <t xml:space="preserve">Discount threshold (0–100)</t>
  </si>
  <si>
    <t xml:space="preserve">100 / 101</t>
  </si>
  <si>
    <t xml:space="preserve">Approval escalation (24 h)</t>
  </si>
  <si>
    <t xml:space="preserve">23 h 59 / 24 h</t>
  </si>
  <si>
    <t xml:space="preserve">Task reminders</t>
  </si>
  <si>
    <t xml:space="preserve">24 h / 3 h / 1 h</t>
  </si>
  <si>
    <t xml:space="preserve">Money, approvals, configuration, tasks, workouts, reports and security: Attacks and mistakes tried</t>
  </si>
  <si>
    <t xml:space="preserve">Guess</t>
  </si>
  <si>
    <t xml:space="preserve">Unknown record id in the URL</t>
  </si>
  <si>
    <t xml:space="preserve">Không tìm thấy</t>
  </si>
  <si>
    <t xml:space="preserve">API call without a session</t>
  </si>
  <si>
    <t xml:space="preserve">401</t>
  </si>
  <si>
    <t xml:space="preserve">Admin API as receptionist</t>
  </si>
  <si>
    <t xml:space="preserve">403</t>
  </si>
  <si>
    <t xml:space="preserve">Lead API as trainer</t>
  </si>
  <si>
    <t xml:space="preserve">SQL-like search text</t>
  </si>
  <si>
    <t xml:space="preserve">Treated as text</t>
  </si>
  <si>
    <t xml:space="preserve">Markup in a name</t>
  </si>
  <si>
    <t xml:space="preserve">Double submit</t>
  </si>
  <si>
    <t xml:space="preserve">One record</t>
  </si>
  <si>
    <t xml:space="preserve">Unknown email at sign-in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</si>
</sst>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46"/>
        <bgColor rgb="FF003366"/>
      </patternFill>
    </fill>
    <fill>
      <patternFill patternType="solid">
        <fgColor rgb="FFE3F3E8"/>
        <bgColor rgb="FFFDF0D9"/>
      </patternFill>
    </fill>
    <fill>
      <patternFill patternType="solid">
        <fgColor rgb="FFFFF2CC"/>
        <bgColor rgb="FFFDF0D9"/>
      </patternFill>
    </fill>
    <fill>
      <patternFill patternType="solid">
        <fgColor rgb="FFFBE7E5"/>
        <bgColor rgb="FFFDF0D9"/>
      </patternFill>
    </fill>
    <fill>
      <patternFill patternType="solid">
        <fgColor rgb="FFFDF0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4"/>
      </left>
      <right style="thin">
        <color rgb="FFD0D7D4"/>
      </right>
      <top style="thin">
        <color rgb="FFD0D7D4"/>
      </top>
      <bottom style="thin">
        <color rgb="FFD0D7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3E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BE7E5"/>
          <bgColor rgb="FF000000"/>
        </patternFill>
      </fill>
    </dxf>
    <dxf>
      <fill>
        <patternFill patternType="solid">
          <fgColor rgb="FFFD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3F3E8"/>
      <rgbColor rgb="FF660066"/>
      <rgbColor rgb="FFFF8080"/>
      <rgbColor rgb="FF0066CC"/>
      <rgbColor rgb="FFD0D7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F0D9"/>
      <rgbColor rgb="FF99CCFF"/>
      <rgbColor rgb="FFFF99CC"/>
      <rgbColor rgb="FFCC99FF"/>
      <rgbColor rgb="FFFBE7E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1" min="10" style="0" width="12"/>
    <col collapsed="false" customWidth="true" hidden="false" outlineLevel="0" max="12" min="1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35.05" hidden="false" customHeight="false" outlineLevel="0" collapsed="false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</row>
    <row r="7" customFormat="false" ht="15" hidden="false" customHeight="false" outlineLevel="0" collapsed="false">
      <c r="A7" s="4" t="s">
        <v>16</v>
      </c>
      <c r="B7" s="4" t="s">
        <v>17</v>
      </c>
      <c r="C7" s="4" t="n">
        <f aca="false">COUNTA(Access!A:A)-1</f>
        <v>79</v>
      </c>
      <c r="D7" s="4" t="n">
        <f aca="false">COUNTIF(Access!J:J,"Automated")</f>
        <v>70</v>
      </c>
      <c r="E7" s="4" t="n">
        <f aca="false">COUNTIF(Access!J:J,"Manual")</f>
        <v>9</v>
      </c>
      <c r="F7" s="4" t="n">
        <f aca="false">COUNTIF(Access!J:J,"Not drafted")</f>
        <v>0</v>
      </c>
      <c r="G7" s="4" t="n">
        <f aca="false">COUNTIF(Access!M:M,"PASSED")</f>
        <v>70</v>
      </c>
      <c r="H7" s="4" t="n">
        <f aca="false">COUNTIF(Access!M:M,"FAILED")</f>
        <v>0</v>
      </c>
      <c r="I7" s="4" t="n">
        <f aca="false">COUNTIF(Access!M:M,"INCONCLUSIVE")</f>
        <v>0</v>
      </c>
      <c r="J7" s="4" t="n">
        <f aca="false">COUNTIF(Access!O:O,"Pass")</f>
        <v>0</v>
      </c>
      <c r="K7" s="4" t="n">
        <f aca="false">COUNTIF(Access!O:O,"Fail")</f>
        <v>0</v>
      </c>
      <c r="L7" s="4" t="n">
        <f aca="false">COUNTIF(Access!O:O,"Blocked")</f>
        <v>0</v>
      </c>
    </row>
    <row r="8" customFormat="false" ht="15" hidden="false" customHeight="false" outlineLevel="0" collapsed="false">
      <c r="A8" s="4" t="s">
        <v>18</v>
      </c>
      <c r="B8" s="4" t="s">
        <v>19</v>
      </c>
      <c r="C8" s="4" t="n">
        <f aca="false">COUNTA(Leads!A:A)-1</f>
        <v>43</v>
      </c>
      <c r="D8" s="4" t="n">
        <f aca="false">COUNTIF(Leads!J:J,"Automated")</f>
        <v>27</v>
      </c>
      <c r="E8" s="4" t="n">
        <f aca="false">COUNTIF(Leads!J:J,"Manual")</f>
        <v>16</v>
      </c>
      <c r="F8" s="4" t="n">
        <f aca="false">COUNTIF(Leads!J:J,"Not drafted")</f>
        <v>0</v>
      </c>
      <c r="G8" s="4" t="n">
        <f aca="false">COUNTIF(Leads!M:M,"PASSED")</f>
        <v>27</v>
      </c>
      <c r="H8" s="4" t="n">
        <f aca="false">COUNTIF(Leads!M:M,"FAILED")</f>
        <v>0</v>
      </c>
      <c r="I8" s="4" t="n">
        <f aca="false">COUNTIF(Leads!M:M,"INCONCLUSIVE")</f>
        <v>0</v>
      </c>
      <c r="J8" s="4" t="n">
        <f aca="false">COUNTIF(Leads!O:O,"Pass")</f>
        <v>0</v>
      </c>
      <c r="K8" s="4" t="n">
        <f aca="false">COUNTIF(Leads!O:O,"Fail")</f>
        <v>0</v>
      </c>
      <c r="L8" s="4" t="n">
        <f aca="false">COUNTIF(Leads!O:O,"Blocked")</f>
        <v>0</v>
      </c>
    </row>
    <row r="9" customFormat="false" ht="15" hidden="false" customHeight="false" outlineLevel="0" collapsed="false">
      <c r="A9" s="4" t="s">
        <v>20</v>
      </c>
      <c r="B9" s="4" t="s">
        <v>21</v>
      </c>
      <c r="C9" s="4" t="n">
        <f aca="false">COUNTA('Customers &amp; contracts'!A:A)-1</f>
        <v>45</v>
      </c>
      <c r="D9" s="4" t="n">
        <f aca="false">COUNTIF('Customers &amp; contracts'!J:J,"Automated")</f>
        <v>23</v>
      </c>
      <c r="E9" s="4" t="n">
        <f aca="false">COUNTIF('Customers &amp; contracts'!J:J,"Manual")</f>
        <v>22</v>
      </c>
      <c r="F9" s="4" t="n">
        <f aca="false">COUNTIF('Customers &amp; contracts'!J:J,"Not drafted")</f>
        <v>0</v>
      </c>
      <c r="G9" s="4" t="n">
        <f aca="false">COUNTIF('Customers &amp; contracts'!M:M,"PASSED")</f>
        <v>22</v>
      </c>
      <c r="H9" s="4" t="n">
        <f aca="false">COUNTIF('Customers &amp; contracts'!M:M,"FAILED")</f>
        <v>1</v>
      </c>
      <c r="I9" s="4" t="n">
        <f aca="false">COUNTIF('Customers &amp; contracts'!M:M,"INCONCLUSIVE")</f>
        <v>0</v>
      </c>
      <c r="J9" s="4" t="n">
        <f aca="false">COUNTIF('Customers &amp; contracts'!O:O,"Pass")</f>
        <v>0</v>
      </c>
      <c r="K9" s="4" t="n">
        <f aca="false">COUNTIF('Customers &amp; contracts'!O:O,"Fail")</f>
        <v>0</v>
      </c>
      <c r="L9" s="4" t="n">
        <f aca="false">COUNTIF('Customers &amp; contracts'!O:O,"Blocked")</f>
        <v>0</v>
      </c>
    </row>
    <row r="10" customFormat="false" ht="15" hidden="false" customHeight="false" outlineLevel="0" collapsed="false">
      <c r="A10" s="4" t="s">
        <v>22</v>
      </c>
      <c r="B10" s="4" t="s">
        <v>23</v>
      </c>
      <c r="C10" s="4" t="n">
        <f aca="false">COUNTA('Booking &amp; sessions'!A:A)-1</f>
        <v>36</v>
      </c>
      <c r="D10" s="4" t="n">
        <f aca="false">COUNTIF('Booking &amp; sessions'!J:J,"Automated")</f>
        <v>1</v>
      </c>
      <c r="E10" s="4" t="n">
        <f aca="false">COUNTIF('Booking &amp; sessions'!J:J,"Manual")</f>
        <v>35</v>
      </c>
      <c r="F10" s="4" t="n">
        <f aca="false">COUNTIF('Booking &amp; sessions'!J:J,"Not drafted")</f>
        <v>0</v>
      </c>
      <c r="G10" s="4" t="n">
        <f aca="false">COUNTIF('Booking &amp; sessions'!M:M,"PASSED")</f>
        <v>1</v>
      </c>
      <c r="H10" s="4" t="n">
        <f aca="false">COUNTIF('Booking &amp; sessions'!M:M,"FAILED")</f>
        <v>0</v>
      </c>
      <c r="I10" s="4" t="n">
        <f aca="false">COUNTIF('Booking &amp; sessions'!M:M,"INCONCLUSIVE")</f>
        <v>0</v>
      </c>
      <c r="J10" s="4" t="n">
        <f aca="false">COUNTIF('Booking &amp; sessions'!O:O,"Pass")</f>
        <v>0</v>
      </c>
      <c r="K10" s="4" t="n">
        <f aca="false">COUNTIF('Booking &amp; sessions'!O:O,"Fail")</f>
        <v>0</v>
      </c>
      <c r="L10" s="4" t="n">
        <f aca="false">COUNTIF('Booking &amp; sessions'!O:O,"Blocked")</f>
        <v>0</v>
      </c>
    </row>
    <row r="11" customFormat="false" ht="15" hidden="false" customHeight="false" outlineLevel="0" collapsed="false">
      <c r="A11" s="4" t="s">
        <v>24</v>
      </c>
      <c r="B11" s="4" t="s">
        <v>25</v>
      </c>
      <c r="C11" s="4" t="n">
        <f aca="false">COUNTA(Operations!A:A)-1</f>
        <v>58</v>
      </c>
      <c r="D11" s="4" t="n">
        <f aca="false">COUNTIF(Operations!J:J,"Automated")</f>
        <v>9</v>
      </c>
      <c r="E11" s="4" t="n">
        <f aca="false">COUNTIF(Operations!J:J,"Manual")</f>
        <v>47</v>
      </c>
      <c r="F11" s="4" t="n">
        <f aca="false">COUNTIF(Operations!J:J,"Not drafted")</f>
        <v>2</v>
      </c>
      <c r="G11" s="4" t="n">
        <f aca="false">COUNTIF(Operations!M:M,"PASSED")</f>
        <v>8</v>
      </c>
      <c r="H11" s="4" t="n">
        <f aca="false">COUNTIF(Operations!M:M,"FAILED")</f>
        <v>0</v>
      </c>
      <c r="I11" s="4" t="n">
        <f aca="false">COUNTIF(Operations!M:M,"INCONCLUSIVE")</f>
        <v>1</v>
      </c>
      <c r="J11" s="4" t="n">
        <f aca="false">COUNTIF(Operations!O:O,"Pass")</f>
        <v>0</v>
      </c>
      <c r="K11" s="4" t="n">
        <f aca="false">COUNTIF(Operations!O:O,"Fail")</f>
        <v>0</v>
      </c>
      <c r="L11" s="4" t="n">
        <f aca="false">COUNTIF(Operations!O:O,"Blocked")</f>
        <v>0</v>
      </c>
    </row>
    <row r="12" customFormat="false" ht="15" hidden="false" customHeight="false" outlineLevel="0" collapsed="false">
      <c r="A12" s="5" t="s">
        <v>26</v>
      </c>
      <c r="B12" s="5"/>
      <c r="C12" s="5" t="n">
        <f aca="false">SUM(C7:C11)</f>
        <v>261</v>
      </c>
      <c r="D12" s="5" t="n">
        <f aca="false">SUM(D7:D11)</f>
        <v>130</v>
      </c>
      <c r="E12" s="5" t="n">
        <f aca="false">SUM(E7:E11)</f>
        <v>129</v>
      </c>
      <c r="F12" s="5" t="n">
        <f aca="false">SUM(F7:F11)</f>
        <v>2</v>
      </c>
      <c r="G12" s="5" t="n">
        <f aca="false">SUM(G7:G11)</f>
        <v>128</v>
      </c>
      <c r="H12" s="5" t="n">
        <f aca="false">SUM(H7:H11)</f>
        <v>1</v>
      </c>
      <c r="I12" s="5" t="n">
        <f aca="false">SUM(I7:I11)</f>
        <v>1</v>
      </c>
      <c r="J12" s="5" t="n">
        <f aca="false">SUM(J7:J11)</f>
        <v>0</v>
      </c>
      <c r="K12" s="5" t="n">
        <f aca="false">SUM(K7:K11)</f>
        <v>0</v>
      </c>
      <c r="L12" s="5" t="n">
        <f aca="false">SUM(L7:L11)</f>
        <v>0</v>
      </c>
    </row>
    <row r="13" customFormat="false" ht="15" hidden="false" customHeight="false" outlineLevel="0" collapsed="false">
      <c r="A13" s="6" t="s">
        <v>27</v>
      </c>
      <c r="C13" s="7" t="n">
        <f aca="false">IF(C12=0,0,D12/C12)</f>
        <v>0.498084291187739</v>
      </c>
    </row>
    <row r="15" customFormat="false" ht="15" hidden="false" customHeight="false" outlineLevel="0" collapsed="false">
      <c r="A15" s="3" t="s">
        <v>28</v>
      </c>
      <c r="B15" s="3" t="s">
        <v>6</v>
      </c>
    </row>
    <row r="16" customFormat="false" ht="15" hidden="false" customHeight="false" outlineLevel="0" collapsed="false">
      <c r="A16" s="4" t="s">
        <v>29</v>
      </c>
      <c r="B16" s="4" t="n">
        <f aca="false">COUNTIF(Access!C:C,"Boundary value analysis")+COUNTIF(Leads!C:C,"Boundary value analysis")+COUNTIF('Customers &amp; contracts'!C:C,"Boundary value analysis")+COUNTIF('Booking &amp; sessions'!C:C,"Boundary value analysis")+COUNTIF(Operations!C:C,"Boundary value analysis")</f>
        <v>35</v>
      </c>
    </row>
    <row r="17" customFormat="false" ht="15" hidden="false" customHeight="false" outlineLevel="0" collapsed="false">
      <c r="A17" s="4" t="s">
        <v>30</v>
      </c>
      <c r="B17" s="4" t="n">
        <f aca="false">COUNTIF(Access!C:C,"Decision table")+COUNTIF(Leads!C:C,"Decision table")+COUNTIF('Customers &amp; contracts'!C:C,"Decision table")+COUNTIF('Booking &amp; sessions'!C:C,"Decision table")+COUNTIF(Operations!C:C,"Decision table")</f>
        <v>28</v>
      </c>
    </row>
    <row r="18" customFormat="false" ht="15" hidden="false" customHeight="false" outlineLevel="0" collapsed="false">
      <c r="A18" s="4" t="s">
        <v>31</v>
      </c>
      <c r="B18" s="4" t="n">
        <f aca="false">COUNTIF(Access!C:C,"Equivalence partitioning")+COUNTIF(Leads!C:C,"Equivalence partitioning")+COUNTIF('Customers &amp; contracts'!C:C,"Equivalence partitioning")+COUNTIF('Booking &amp; sessions'!C:C,"Equivalence partitioning")+COUNTIF(Operations!C:C,"Equivalence partitioning")</f>
        <v>34</v>
      </c>
    </row>
    <row r="19" customFormat="false" ht="15" hidden="false" customHeight="false" outlineLevel="0" collapsed="false">
      <c r="A19" s="4" t="s">
        <v>32</v>
      </c>
      <c r="B19" s="4" t="n">
        <f aca="false">COUNTIF(Access!C:C,"Error guessing")+COUNTIF(Leads!C:C,"Error guessing")+COUNTIF('Customers &amp; contracts'!C:C,"Error guessing")+COUNTIF('Booking &amp; sessions'!C:C,"Error guessing")+COUNTIF(Operations!C:C,"Error guessing")</f>
        <v>21</v>
      </c>
    </row>
    <row r="20" customFormat="false" ht="15" hidden="false" customHeight="false" outlineLevel="0" collapsed="false">
      <c r="A20" s="4" t="s">
        <v>33</v>
      </c>
      <c r="B20" s="4" t="n">
        <f aca="false">COUNTIF(Access!C:C,"Permission matrix")+COUNTIF(Leads!C:C,"Permission matrix")+COUNTIF('Customers &amp; contracts'!C:C,"Permission matrix")+COUNTIF('Booking &amp; sessions'!C:C,"Permission matrix")+COUNTIF(Operations!C:C,"Permission matrix")</f>
        <v>77</v>
      </c>
    </row>
    <row r="21" customFormat="false" ht="15" hidden="false" customHeight="false" outlineLevel="0" collapsed="false">
      <c r="A21" s="4" t="s">
        <v>34</v>
      </c>
      <c r="B21" s="4" t="n">
        <f aca="false">COUNTIF(Access!C:C,"State transition")+COUNTIF(Leads!C:C,"State transition")+COUNTIF('Customers &amp; contracts'!C:C,"State transition")+COUNTIF('Booking &amp; sessions'!C:C,"State transition")+COUNTIF(Operations!C:C,"State transition")</f>
        <v>20</v>
      </c>
    </row>
    <row r="22" customFormat="false" ht="15" hidden="false" customHeight="false" outlineLevel="0" collapsed="false">
      <c r="A22" s="4" t="s">
        <v>35</v>
      </c>
      <c r="B22" s="4" t="n">
        <f aca="false">COUNTIF(Access!C:C,"Use case")+COUNTIF(Leads!C:C,"Use case")+COUNTIF('Customers &amp; contracts'!C:C,"Use case")+COUNTIF('Booking &amp; sessions'!C:C,"Use case")+COUNTIF(Operations!C:C,"Use case")</f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13"/>
    <col collapsed="false" customWidth="true" hidden="false" outlineLevel="0" max="7" min="7" style="0" width="50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12"/>
    <col collapsed="false" customWidth="true" hidden="false" outlineLevel="0" max="11" min="11" style="0" width="40"/>
    <col collapsed="false" customWidth="true" hidden="false" outlineLevel="0" max="13" min="12" style="0" width="13"/>
    <col collapsed="false" customWidth="true" hidden="false" outlineLevel="0" max="14" min="14" style="0" width="40"/>
    <col collapsed="false" customWidth="true" hidden="false" outlineLevel="0" max="15" min="15" style="0" width="13"/>
    <col collapsed="false" customWidth="true" hidden="false" outlineLevel="0" max="16" min="16" style="0" width="30"/>
    <col collapsed="false" customWidth="true" hidden="false" outlineLevel="0" max="17" min="17" style="0" width="12"/>
  </cols>
  <sheetData>
    <row r="1" customFormat="false" ht="23.85" hidden="false" customHeight="false" outlineLevel="0" collapsed="false">
      <c r="A1" s="3" t="s">
        <v>36</v>
      </c>
      <c r="B1" s="3" t="s">
        <v>37</v>
      </c>
      <c r="C1" s="3" t="s">
        <v>28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51</v>
      </c>
    </row>
    <row r="2" customFormat="false" ht="23.85" hidden="false" customHeight="false" outlineLevel="0" collapsed="false">
      <c r="A2" s="8" t="s">
        <v>52</v>
      </c>
      <c r="B2" s="8" t="s">
        <v>53</v>
      </c>
      <c r="C2" s="8" t="s">
        <v>35</v>
      </c>
      <c r="D2" s="8" t="s">
        <v>54</v>
      </c>
      <c r="E2" s="8" t="s">
        <v>55</v>
      </c>
      <c r="F2" s="8" t="s">
        <v>56</v>
      </c>
      <c r="G2" s="8" t="s">
        <v>57</v>
      </c>
      <c r="H2" s="8" t="s">
        <v>58</v>
      </c>
      <c r="I2" s="8" t="s">
        <v>59</v>
      </c>
      <c r="J2" s="8" t="s">
        <v>7</v>
      </c>
      <c r="K2" s="8"/>
      <c r="L2" s="9" t="s">
        <v>60</v>
      </c>
      <c r="M2" s="9" t="s">
        <v>60</v>
      </c>
      <c r="N2" s="8"/>
      <c r="O2" s="10"/>
      <c r="P2" s="10"/>
      <c r="Q2" s="10"/>
    </row>
    <row r="3" customFormat="false" ht="35.05" hidden="false" customHeight="false" outlineLevel="0" collapsed="false">
      <c r="A3" s="8" t="s">
        <v>61</v>
      </c>
      <c r="B3" s="8" t="s">
        <v>53</v>
      </c>
      <c r="C3" s="8" t="s">
        <v>31</v>
      </c>
      <c r="D3" s="8" t="s">
        <v>54</v>
      </c>
      <c r="E3" s="8" t="s">
        <v>62</v>
      </c>
      <c r="F3" s="8" t="s">
        <v>56</v>
      </c>
      <c r="G3" s="8" t="s">
        <v>63</v>
      </c>
      <c r="H3" s="8" t="s">
        <v>58</v>
      </c>
      <c r="I3" s="8" t="s">
        <v>64</v>
      </c>
      <c r="J3" s="8" t="s">
        <v>7</v>
      </c>
      <c r="K3" s="8"/>
      <c r="L3" s="9" t="s">
        <v>60</v>
      </c>
      <c r="M3" s="9" t="s">
        <v>60</v>
      </c>
      <c r="N3" s="8"/>
      <c r="O3" s="10"/>
      <c r="P3" s="10"/>
      <c r="Q3" s="10"/>
    </row>
    <row r="4" customFormat="false" ht="35.05" hidden="false" customHeight="false" outlineLevel="0" collapsed="false">
      <c r="A4" s="8" t="s">
        <v>65</v>
      </c>
      <c r="B4" s="8" t="s">
        <v>53</v>
      </c>
      <c r="C4" s="8" t="s">
        <v>32</v>
      </c>
      <c r="D4" s="8" t="s">
        <v>54</v>
      </c>
      <c r="E4" s="8" t="s">
        <v>66</v>
      </c>
      <c r="F4" s="8" t="s">
        <v>56</v>
      </c>
      <c r="G4" s="8" t="s">
        <v>67</v>
      </c>
      <c r="H4" s="8" t="s">
        <v>68</v>
      </c>
      <c r="I4" s="8" t="s">
        <v>69</v>
      </c>
      <c r="J4" s="8" t="s">
        <v>7</v>
      </c>
      <c r="K4" s="8"/>
      <c r="L4" s="9" t="s">
        <v>60</v>
      </c>
      <c r="M4" s="9" t="s">
        <v>60</v>
      </c>
      <c r="N4" s="8"/>
      <c r="O4" s="10"/>
      <c r="P4" s="10"/>
      <c r="Q4" s="10"/>
    </row>
    <row r="5" customFormat="false" ht="23.85" hidden="false" customHeight="false" outlineLevel="0" collapsed="false">
      <c r="A5" s="8" t="s">
        <v>70</v>
      </c>
      <c r="B5" s="8" t="s">
        <v>53</v>
      </c>
      <c r="C5" s="8" t="s">
        <v>34</v>
      </c>
      <c r="D5" s="8" t="s">
        <v>54</v>
      </c>
      <c r="E5" s="8" t="s">
        <v>71</v>
      </c>
      <c r="F5" s="8" t="s">
        <v>72</v>
      </c>
      <c r="G5" s="8" t="s">
        <v>73</v>
      </c>
      <c r="H5" s="8" t="s">
        <v>74</v>
      </c>
      <c r="I5" s="8" t="s">
        <v>75</v>
      </c>
      <c r="J5" s="8" t="s">
        <v>7</v>
      </c>
      <c r="K5" s="8"/>
      <c r="L5" s="9" t="s">
        <v>60</v>
      </c>
      <c r="M5" s="9" t="s">
        <v>60</v>
      </c>
      <c r="N5" s="8"/>
      <c r="O5" s="10"/>
      <c r="P5" s="10"/>
      <c r="Q5" s="10"/>
    </row>
    <row r="6" customFormat="false" ht="23.85" hidden="false" customHeight="false" outlineLevel="0" collapsed="false">
      <c r="A6" s="8" t="s">
        <v>76</v>
      </c>
      <c r="B6" s="8" t="s">
        <v>53</v>
      </c>
      <c r="C6" s="8" t="s">
        <v>31</v>
      </c>
      <c r="D6" s="8" t="s">
        <v>77</v>
      </c>
      <c r="E6" s="8" t="s">
        <v>78</v>
      </c>
      <c r="F6" s="8" t="s">
        <v>72</v>
      </c>
      <c r="G6" s="8" t="s">
        <v>79</v>
      </c>
      <c r="H6" s="8" t="s">
        <v>74</v>
      </c>
      <c r="I6" s="8" t="s">
        <v>80</v>
      </c>
      <c r="J6" s="8" t="s">
        <v>7</v>
      </c>
      <c r="K6" s="8"/>
      <c r="L6" s="9" t="s">
        <v>60</v>
      </c>
      <c r="M6" s="9" t="s">
        <v>60</v>
      </c>
      <c r="N6" s="8"/>
      <c r="O6" s="10"/>
      <c r="P6" s="10"/>
      <c r="Q6" s="10"/>
    </row>
    <row r="7" customFormat="false" ht="23.85" hidden="false" customHeight="false" outlineLevel="0" collapsed="false">
      <c r="A7" s="8" t="s">
        <v>81</v>
      </c>
      <c r="B7" s="8" t="s">
        <v>53</v>
      </c>
      <c r="C7" s="8" t="s">
        <v>34</v>
      </c>
      <c r="D7" s="8" t="s">
        <v>54</v>
      </c>
      <c r="E7" s="8" t="s">
        <v>82</v>
      </c>
      <c r="F7" s="8" t="s">
        <v>56</v>
      </c>
      <c r="G7" s="8" t="s">
        <v>83</v>
      </c>
      <c r="H7" s="8" t="s">
        <v>84</v>
      </c>
      <c r="I7" s="8" t="s">
        <v>85</v>
      </c>
      <c r="J7" s="8" t="s">
        <v>7</v>
      </c>
      <c r="K7" s="8"/>
      <c r="L7" s="9" t="s">
        <v>60</v>
      </c>
      <c r="M7" s="9" t="s">
        <v>60</v>
      </c>
      <c r="N7" s="8"/>
      <c r="O7" s="10"/>
      <c r="P7" s="10"/>
      <c r="Q7" s="10"/>
    </row>
    <row r="8" customFormat="false" ht="35.05" hidden="false" customHeight="false" outlineLevel="0" collapsed="false">
      <c r="A8" s="8" t="s">
        <v>86</v>
      </c>
      <c r="B8" s="8" t="s">
        <v>53</v>
      </c>
      <c r="C8" s="8" t="s">
        <v>30</v>
      </c>
      <c r="D8" s="8" t="s">
        <v>77</v>
      </c>
      <c r="E8" s="8" t="s">
        <v>87</v>
      </c>
      <c r="F8" s="8" t="s">
        <v>56</v>
      </c>
      <c r="G8" s="8" t="s">
        <v>88</v>
      </c>
      <c r="H8" s="8" t="s">
        <v>89</v>
      </c>
      <c r="I8" s="8" t="s">
        <v>90</v>
      </c>
      <c r="J8" s="8" t="s">
        <v>8</v>
      </c>
      <c r="K8" s="8" t="s">
        <v>91</v>
      </c>
      <c r="L8" s="8"/>
      <c r="M8" s="8"/>
      <c r="N8" s="8"/>
      <c r="O8" s="10"/>
      <c r="P8" s="10"/>
      <c r="Q8" s="10"/>
    </row>
    <row r="9" customFormat="false" ht="23.85" hidden="false" customHeight="false" outlineLevel="0" collapsed="false">
      <c r="A9" s="8" t="s">
        <v>92</v>
      </c>
      <c r="B9" s="8" t="s">
        <v>53</v>
      </c>
      <c r="C9" s="8" t="s">
        <v>31</v>
      </c>
      <c r="D9" s="8" t="s">
        <v>77</v>
      </c>
      <c r="E9" s="8" t="s">
        <v>93</v>
      </c>
      <c r="F9" s="8" t="s">
        <v>56</v>
      </c>
      <c r="G9" s="8" t="s">
        <v>94</v>
      </c>
      <c r="H9" s="8" t="s">
        <v>95</v>
      </c>
      <c r="I9" s="8" t="s">
        <v>96</v>
      </c>
      <c r="J9" s="8" t="s">
        <v>8</v>
      </c>
      <c r="K9" s="8" t="s">
        <v>97</v>
      </c>
      <c r="L9" s="8"/>
      <c r="M9" s="8"/>
      <c r="N9" s="8"/>
      <c r="O9" s="10"/>
      <c r="P9" s="10"/>
      <c r="Q9" s="10"/>
    </row>
    <row r="10" customFormat="false" ht="23.85" hidden="false" customHeight="false" outlineLevel="0" collapsed="false">
      <c r="A10" s="8" t="s">
        <v>98</v>
      </c>
      <c r="B10" s="8" t="s">
        <v>53</v>
      </c>
      <c r="C10" s="8" t="s">
        <v>35</v>
      </c>
      <c r="D10" s="8" t="s">
        <v>77</v>
      </c>
      <c r="E10" s="8" t="s">
        <v>99</v>
      </c>
      <c r="F10" s="8" t="s">
        <v>56</v>
      </c>
      <c r="G10" s="8" t="s">
        <v>100</v>
      </c>
      <c r="H10" s="8" t="s">
        <v>101</v>
      </c>
      <c r="I10" s="8" t="s">
        <v>102</v>
      </c>
      <c r="J10" s="8" t="s">
        <v>8</v>
      </c>
      <c r="K10" s="8" t="s">
        <v>97</v>
      </c>
      <c r="L10" s="8"/>
      <c r="M10" s="8"/>
      <c r="N10" s="8"/>
      <c r="O10" s="10"/>
      <c r="P10" s="10"/>
      <c r="Q10" s="10"/>
    </row>
    <row r="11" customFormat="false" ht="35.05" hidden="false" customHeight="false" outlineLevel="0" collapsed="false">
      <c r="A11" s="8" t="s">
        <v>103</v>
      </c>
      <c r="B11" s="8" t="s">
        <v>53</v>
      </c>
      <c r="C11" s="8" t="s">
        <v>29</v>
      </c>
      <c r="D11" s="8" t="s">
        <v>77</v>
      </c>
      <c r="E11" s="8" t="s">
        <v>104</v>
      </c>
      <c r="F11" s="8" t="s">
        <v>56</v>
      </c>
      <c r="G11" s="8" t="s">
        <v>105</v>
      </c>
      <c r="H11" s="8" t="s">
        <v>106</v>
      </c>
      <c r="I11" s="8" t="s">
        <v>107</v>
      </c>
      <c r="J11" s="8" t="s">
        <v>8</v>
      </c>
      <c r="K11" s="8" t="s">
        <v>91</v>
      </c>
      <c r="L11" s="8"/>
      <c r="M11" s="8"/>
      <c r="N11" s="8"/>
      <c r="O11" s="10"/>
      <c r="P11" s="10"/>
      <c r="Q11" s="10"/>
    </row>
    <row r="12" customFormat="false" ht="35.05" hidden="false" customHeight="false" outlineLevel="0" collapsed="false">
      <c r="A12" s="8" t="s">
        <v>108</v>
      </c>
      <c r="B12" s="8" t="s">
        <v>53</v>
      </c>
      <c r="C12" s="8" t="s">
        <v>29</v>
      </c>
      <c r="D12" s="8" t="s">
        <v>109</v>
      </c>
      <c r="E12" s="8" t="s">
        <v>110</v>
      </c>
      <c r="F12" s="8" t="s">
        <v>56</v>
      </c>
      <c r="G12" s="8" t="s">
        <v>111</v>
      </c>
      <c r="H12" s="8" t="s">
        <v>112</v>
      </c>
      <c r="I12" s="8" t="s">
        <v>113</v>
      </c>
      <c r="J12" s="8" t="s">
        <v>8</v>
      </c>
      <c r="K12" s="8" t="s">
        <v>91</v>
      </c>
      <c r="L12" s="8"/>
      <c r="M12" s="8"/>
      <c r="N12" s="8"/>
      <c r="O12" s="10"/>
      <c r="P12" s="10"/>
      <c r="Q12" s="10"/>
    </row>
    <row r="13" customFormat="false" ht="35.05" hidden="false" customHeight="false" outlineLevel="0" collapsed="false">
      <c r="A13" s="8" t="s">
        <v>114</v>
      </c>
      <c r="B13" s="8" t="s">
        <v>115</v>
      </c>
      <c r="C13" s="8" t="s">
        <v>33</v>
      </c>
      <c r="D13" s="8" t="s">
        <v>54</v>
      </c>
      <c r="E13" s="8" t="s">
        <v>116</v>
      </c>
      <c r="F13" s="8" t="s">
        <v>72</v>
      </c>
      <c r="G13" s="8" t="s">
        <v>117</v>
      </c>
      <c r="H13" s="8" t="s">
        <v>118</v>
      </c>
      <c r="I13" s="8" t="s">
        <v>119</v>
      </c>
      <c r="J13" s="8" t="s">
        <v>7</v>
      </c>
      <c r="K13" s="8"/>
      <c r="L13" s="9" t="s">
        <v>60</v>
      </c>
      <c r="M13" s="9" t="s">
        <v>60</v>
      </c>
      <c r="N13" s="8"/>
      <c r="O13" s="10"/>
      <c r="P13" s="10"/>
      <c r="Q13" s="10"/>
    </row>
    <row r="14" customFormat="false" ht="35.05" hidden="false" customHeight="false" outlineLevel="0" collapsed="false">
      <c r="A14" s="8" t="s">
        <v>120</v>
      </c>
      <c r="B14" s="8" t="s">
        <v>115</v>
      </c>
      <c r="C14" s="8" t="s">
        <v>33</v>
      </c>
      <c r="D14" s="8" t="s">
        <v>54</v>
      </c>
      <c r="E14" s="8" t="s">
        <v>121</v>
      </c>
      <c r="F14" s="8" t="s">
        <v>72</v>
      </c>
      <c r="G14" s="8" t="s">
        <v>117</v>
      </c>
      <c r="H14" s="8" t="s">
        <v>122</v>
      </c>
      <c r="I14" s="8" t="s">
        <v>123</v>
      </c>
      <c r="J14" s="8" t="s">
        <v>7</v>
      </c>
      <c r="K14" s="8"/>
      <c r="L14" s="9" t="s">
        <v>60</v>
      </c>
      <c r="M14" s="9" t="s">
        <v>60</v>
      </c>
      <c r="N14" s="8"/>
      <c r="O14" s="10"/>
      <c r="P14" s="10"/>
      <c r="Q14" s="10"/>
    </row>
    <row r="15" customFormat="false" ht="35.05" hidden="false" customHeight="false" outlineLevel="0" collapsed="false">
      <c r="A15" s="8" t="s">
        <v>124</v>
      </c>
      <c r="B15" s="8" t="s">
        <v>115</v>
      </c>
      <c r="C15" s="8" t="s">
        <v>33</v>
      </c>
      <c r="D15" s="8" t="s">
        <v>54</v>
      </c>
      <c r="E15" s="8" t="s">
        <v>125</v>
      </c>
      <c r="F15" s="8" t="s">
        <v>72</v>
      </c>
      <c r="G15" s="8" t="s">
        <v>126</v>
      </c>
      <c r="H15" s="8" t="s">
        <v>118</v>
      </c>
      <c r="I15" s="8" t="s">
        <v>127</v>
      </c>
      <c r="J15" s="8" t="s">
        <v>7</v>
      </c>
      <c r="K15" s="8"/>
      <c r="L15" s="9" t="s">
        <v>60</v>
      </c>
      <c r="M15" s="9" t="s">
        <v>60</v>
      </c>
      <c r="N15" s="8"/>
      <c r="O15" s="10"/>
      <c r="P15" s="10"/>
      <c r="Q15" s="10"/>
    </row>
    <row r="16" customFormat="false" ht="35.05" hidden="false" customHeight="false" outlineLevel="0" collapsed="false">
      <c r="A16" s="8" t="s">
        <v>128</v>
      </c>
      <c r="B16" s="8" t="s">
        <v>115</v>
      </c>
      <c r="C16" s="8" t="s">
        <v>33</v>
      </c>
      <c r="D16" s="8" t="s">
        <v>54</v>
      </c>
      <c r="E16" s="8" t="s">
        <v>129</v>
      </c>
      <c r="F16" s="8" t="s">
        <v>72</v>
      </c>
      <c r="G16" s="8" t="s">
        <v>126</v>
      </c>
      <c r="H16" s="8" t="s">
        <v>122</v>
      </c>
      <c r="I16" s="8" t="s">
        <v>130</v>
      </c>
      <c r="J16" s="8" t="s">
        <v>7</v>
      </c>
      <c r="K16" s="8"/>
      <c r="L16" s="9" t="s">
        <v>60</v>
      </c>
      <c r="M16" s="9" t="s">
        <v>60</v>
      </c>
      <c r="N16" s="8"/>
      <c r="O16" s="10"/>
      <c r="P16" s="10"/>
      <c r="Q16" s="10"/>
    </row>
    <row r="17" customFormat="false" ht="35.05" hidden="false" customHeight="false" outlineLevel="0" collapsed="false">
      <c r="A17" s="8" t="s">
        <v>131</v>
      </c>
      <c r="B17" s="8" t="s">
        <v>115</v>
      </c>
      <c r="C17" s="8" t="s">
        <v>33</v>
      </c>
      <c r="D17" s="8" t="s">
        <v>54</v>
      </c>
      <c r="E17" s="8" t="s">
        <v>132</v>
      </c>
      <c r="F17" s="8" t="s">
        <v>72</v>
      </c>
      <c r="G17" s="8" t="s">
        <v>133</v>
      </c>
      <c r="H17" s="8" t="s">
        <v>118</v>
      </c>
      <c r="I17" s="8" t="s">
        <v>134</v>
      </c>
      <c r="J17" s="8" t="s">
        <v>7</v>
      </c>
      <c r="K17" s="8"/>
      <c r="L17" s="9" t="s">
        <v>60</v>
      </c>
      <c r="M17" s="9" t="s">
        <v>60</v>
      </c>
      <c r="N17" s="8"/>
      <c r="O17" s="10"/>
      <c r="P17" s="10"/>
      <c r="Q17" s="10"/>
    </row>
    <row r="18" customFormat="false" ht="35.05" hidden="false" customHeight="false" outlineLevel="0" collapsed="false">
      <c r="A18" s="8" t="s">
        <v>135</v>
      </c>
      <c r="B18" s="8" t="s">
        <v>115</v>
      </c>
      <c r="C18" s="8" t="s">
        <v>33</v>
      </c>
      <c r="D18" s="8" t="s">
        <v>54</v>
      </c>
      <c r="E18" s="8" t="s">
        <v>136</v>
      </c>
      <c r="F18" s="8" t="s">
        <v>72</v>
      </c>
      <c r="G18" s="8" t="s">
        <v>133</v>
      </c>
      <c r="H18" s="8" t="s">
        <v>122</v>
      </c>
      <c r="I18" s="8" t="s">
        <v>137</v>
      </c>
      <c r="J18" s="8" t="s">
        <v>7</v>
      </c>
      <c r="K18" s="8"/>
      <c r="L18" s="9" t="s">
        <v>60</v>
      </c>
      <c r="M18" s="9" t="s">
        <v>60</v>
      </c>
      <c r="N18" s="8"/>
      <c r="O18" s="10"/>
      <c r="P18" s="10"/>
      <c r="Q18" s="10"/>
    </row>
    <row r="19" customFormat="false" ht="35.05" hidden="false" customHeight="false" outlineLevel="0" collapsed="false">
      <c r="A19" s="8" t="s">
        <v>138</v>
      </c>
      <c r="B19" s="8" t="s">
        <v>115</v>
      </c>
      <c r="C19" s="8" t="s">
        <v>33</v>
      </c>
      <c r="D19" s="8" t="s">
        <v>54</v>
      </c>
      <c r="E19" s="8" t="s">
        <v>139</v>
      </c>
      <c r="F19" s="8" t="s">
        <v>72</v>
      </c>
      <c r="G19" s="8" t="s">
        <v>140</v>
      </c>
      <c r="H19" s="8" t="s">
        <v>118</v>
      </c>
      <c r="I19" s="8" t="s">
        <v>141</v>
      </c>
      <c r="J19" s="8" t="s">
        <v>7</v>
      </c>
      <c r="K19" s="8"/>
      <c r="L19" s="9" t="s">
        <v>60</v>
      </c>
      <c r="M19" s="9" t="s">
        <v>60</v>
      </c>
      <c r="N19" s="8"/>
      <c r="O19" s="10"/>
      <c r="P19" s="10"/>
      <c r="Q19" s="10"/>
    </row>
    <row r="20" customFormat="false" ht="35.05" hidden="false" customHeight="false" outlineLevel="0" collapsed="false">
      <c r="A20" s="8" t="s">
        <v>142</v>
      </c>
      <c r="B20" s="8" t="s">
        <v>115</v>
      </c>
      <c r="C20" s="8" t="s">
        <v>33</v>
      </c>
      <c r="D20" s="8" t="s">
        <v>54</v>
      </c>
      <c r="E20" s="8" t="s">
        <v>143</v>
      </c>
      <c r="F20" s="8" t="s">
        <v>72</v>
      </c>
      <c r="G20" s="8" t="s">
        <v>140</v>
      </c>
      <c r="H20" s="8" t="s">
        <v>122</v>
      </c>
      <c r="I20" s="8" t="s">
        <v>144</v>
      </c>
      <c r="J20" s="8" t="s">
        <v>7</v>
      </c>
      <c r="K20" s="8"/>
      <c r="L20" s="9" t="s">
        <v>60</v>
      </c>
      <c r="M20" s="9" t="s">
        <v>60</v>
      </c>
      <c r="N20" s="8"/>
      <c r="O20" s="10"/>
      <c r="P20" s="10"/>
      <c r="Q20" s="10"/>
    </row>
    <row r="21" customFormat="false" ht="35.05" hidden="false" customHeight="false" outlineLevel="0" collapsed="false">
      <c r="A21" s="8" t="s">
        <v>145</v>
      </c>
      <c r="B21" s="8" t="s">
        <v>115</v>
      </c>
      <c r="C21" s="8" t="s">
        <v>33</v>
      </c>
      <c r="D21" s="8" t="s">
        <v>54</v>
      </c>
      <c r="E21" s="8" t="s">
        <v>146</v>
      </c>
      <c r="F21" s="8" t="s">
        <v>72</v>
      </c>
      <c r="G21" s="8" t="s">
        <v>147</v>
      </c>
      <c r="H21" s="8" t="s">
        <v>118</v>
      </c>
      <c r="I21" s="8" t="s">
        <v>148</v>
      </c>
      <c r="J21" s="8" t="s">
        <v>7</v>
      </c>
      <c r="K21" s="8"/>
      <c r="L21" s="9" t="s">
        <v>60</v>
      </c>
      <c r="M21" s="9" t="s">
        <v>60</v>
      </c>
      <c r="N21" s="8"/>
      <c r="O21" s="10"/>
      <c r="P21" s="10"/>
      <c r="Q21" s="10"/>
    </row>
    <row r="22" customFormat="false" ht="35.05" hidden="false" customHeight="false" outlineLevel="0" collapsed="false">
      <c r="A22" s="8" t="s">
        <v>149</v>
      </c>
      <c r="B22" s="8" t="s">
        <v>115</v>
      </c>
      <c r="C22" s="8" t="s">
        <v>33</v>
      </c>
      <c r="D22" s="8" t="s">
        <v>54</v>
      </c>
      <c r="E22" s="8" t="s">
        <v>150</v>
      </c>
      <c r="F22" s="8" t="s">
        <v>72</v>
      </c>
      <c r="G22" s="8" t="s">
        <v>147</v>
      </c>
      <c r="H22" s="8" t="s">
        <v>122</v>
      </c>
      <c r="I22" s="8" t="s">
        <v>151</v>
      </c>
      <c r="J22" s="8" t="s">
        <v>7</v>
      </c>
      <c r="K22" s="8"/>
      <c r="L22" s="9" t="s">
        <v>60</v>
      </c>
      <c r="M22" s="9" t="s">
        <v>60</v>
      </c>
      <c r="N22" s="8"/>
      <c r="O22" s="10"/>
      <c r="P22" s="10"/>
      <c r="Q22" s="10"/>
    </row>
    <row r="23" customFormat="false" ht="35.05" hidden="false" customHeight="false" outlineLevel="0" collapsed="false">
      <c r="A23" s="8" t="s">
        <v>152</v>
      </c>
      <c r="B23" s="8" t="s">
        <v>115</v>
      </c>
      <c r="C23" s="8" t="s">
        <v>33</v>
      </c>
      <c r="D23" s="8" t="s">
        <v>54</v>
      </c>
      <c r="E23" s="8" t="s">
        <v>153</v>
      </c>
      <c r="F23" s="8" t="s">
        <v>72</v>
      </c>
      <c r="G23" s="8" t="s">
        <v>154</v>
      </c>
      <c r="H23" s="8" t="s">
        <v>118</v>
      </c>
      <c r="I23" s="8" t="s">
        <v>155</v>
      </c>
      <c r="J23" s="8" t="s">
        <v>7</v>
      </c>
      <c r="K23" s="8"/>
      <c r="L23" s="9" t="s">
        <v>60</v>
      </c>
      <c r="M23" s="9" t="s">
        <v>60</v>
      </c>
      <c r="N23" s="8"/>
      <c r="O23" s="10"/>
      <c r="P23" s="10"/>
      <c r="Q23" s="10"/>
    </row>
    <row r="24" customFormat="false" ht="35.05" hidden="false" customHeight="false" outlineLevel="0" collapsed="false">
      <c r="A24" s="8" t="s">
        <v>156</v>
      </c>
      <c r="B24" s="8" t="s">
        <v>115</v>
      </c>
      <c r="C24" s="8" t="s">
        <v>33</v>
      </c>
      <c r="D24" s="8" t="s">
        <v>54</v>
      </c>
      <c r="E24" s="8" t="s">
        <v>157</v>
      </c>
      <c r="F24" s="8" t="s">
        <v>72</v>
      </c>
      <c r="G24" s="8" t="s">
        <v>154</v>
      </c>
      <c r="H24" s="8" t="s">
        <v>122</v>
      </c>
      <c r="I24" s="8" t="s">
        <v>158</v>
      </c>
      <c r="J24" s="8" t="s">
        <v>7</v>
      </c>
      <c r="K24" s="8"/>
      <c r="L24" s="9" t="s">
        <v>60</v>
      </c>
      <c r="M24" s="9" t="s">
        <v>60</v>
      </c>
      <c r="N24" s="8"/>
      <c r="O24" s="10"/>
      <c r="P24" s="10"/>
      <c r="Q24" s="10"/>
    </row>
    <row r="25" customFormat="false" ht="35.05" hidden="false" customHeight="false" outlineLevel="0" collapsed="false">
      <c r="A25" s="8" t="s">
        <v>159</v>
      </c>
      <c r="B25" s="8" t="s">
        <v>115</v>
      </c>
      <c r="C25" s="8" t="s">
        <v>33</v>
      </c>
      <c r="D25" s="8" t="s">
        <v>54</v>
      </c>
      <c r="E25" s="8" t="s">
        <v>160</v>
      </c>
      <c r="F25" s="8" t="s">
        <v>72</v>
      </c>
      <c r="G25" s="8" t="s">
        <v>161</v>
      </c>
      <c r="H25" s="8" t="s">
        <v>118</v>
      </c>
      <c r="I25" s="8" t="s">
        <v>162</v>
      </c>
      <c r="J25" s="8" t="s">
        <v>7</v>
      </c>
      <c r="K25" s="8"/>
      <c r="L25" s="9" t="s">
        <v>60</v>
      </c>
      <c r="M25" s="9" t="s">
        <v>60</v>
      </c>
      <c r="N25" s="8"/>
      <c r="O25" s="10"/>
      <c r="P25" s="10"/>
      <c r="Q25" s="10"/>
    </row>
    <row r="26" customFormat="false" ht="35.05" hidden="false" customHeight="false" outlineLevel="0" collapsed="false">
      <c r="A26" s="8" t="s">
        <v>163</v>
      </c>
      <c r="B26" s="8" t="s">
        <v>115</v>
      </c>
      <c r="C26" s="8" t="s">
        <v>33</v>
      </c>
      <c r="D26" s="8" t="s">
        <v>54</v>
      </c>
      <c r="E26" s="8" t="s">
        <v>164</v>
      </c>
      <c r="F26" s="8" t="s">
        <v>72</v>
      </c>
      <c r="G26" s="8" t="s">
        <v>161</v>
      </c>
      <c r="H26" s="8" t="s">
        <v>122</v>
      </c>
      <c r="I26" s="8" t="s">
        <v>165</v>
      </c>
      <c r="J26" s="8" t="s">
        <v>7</v>
      </c>
      <c r="K26" s="8"/>
      <c r="L26" s="9" t="s">
        <v>60</v>
      </c>
      <c r="M26" s="9" t="s">
        <v>60</v>
      </c>
      <c r="N26" s="8"/>
      <c r="O26" s="10"/>
      <c r="P26" s="10"/>
      <c r="Q26" s="10"/>
    </row>
    <row r="27" customFormat="false" ht="35.05" hidden="false" customHeight="false" outlineLevel="0" collapsed="false">
      <c r="A27" s="8" t="s">
        <v>166</v>
      </c>
      <c r="B27" s="8" t="s">
        <v>115</v>
      </c>
      <c r="C27" s="8" t="s">
        <v>33</v>
      </c>
      <c r="D27" s="8" t="s">
        <v>54</v>
      </c>
      <c r="E27" s="8" t="s">
        <v>167</v>
      </c>
      <c r="F27" s="8" t="s">
        <v>72</v>
      </c>
      <c r="G27" s="8" t="s">
        <v>168</v>
      </c>
      <c r="H27" s="8" t="s">
        <v>118</v>
      </c>
      <c r="I27" s="8" t="s">
        <v>169</v>
      </c>
      <c r="J27" s="8" t="s">
        <v>7</v>
      </c>
      <c r="K27" s="8"/>
      <c r="L27" s="9" t="s">
        <v>60</v>
      </c>
      <c r="M27" s="9" t="s">
        <v>60</v>
      </c>
      <c r="N27" s="8"/>
      <c r="O27" s="10"/>
      <c r="P27" s="10"/>
      <c r="Q27" s="10"/>
    </row>
    <row r="28" customFormat="false" ht="35.05" hidden="false" customHeight="false" outlineLevel="0" collapsed="false">
      <c r="A28" s="8" t="s">
        <v>170</v>
      </c>
      <c r="B28" s="8" t="s">
        <v>115</v>
      </c>
      <c r="C28" s="8" t="s">
        <v>33</v>
      </c>
      <c r="D28" s="8" t="s">
        <v>54</v>
      </c>
      <c r="E28" s="8" t="s">
        <v>171</v>
      </c>
      <c r="F28" s="8" t="s">
        <v>72</v>
      </c>
      <c r="G28" s="8" t="s">
        <v>168</v>
      </c>
      <c r="H28" s="8" t="s">
        <v>122</v>
      </c>
      <c r="I28" s="8" t="s">
        <v>172</v>
      </c>
      <c r="J28" s="8" t="s">
        <v>7</v>
      </c>
      <c r="K28" s="8"/>
      <c r="L28" s="9" t="s">
        <v>60</v>
      </c>
      <c r="M28" s="9" t="s">
        <v>60</v>
      </c>
      <c r="N28" s="8"/>
      <c r="O28" s="10"/>
      <c r="P28" s="10"/>
      <c r="Q28" s="10"/>
    </row>
    <row r="29" customFormat="false" ht="35.05" hidden="false" customHeight="false" outlineLevel="0" collapsed="false">
      <c r="A29" s="8" t="s">
        <v>173</v>
      </c>
      <c r="B29" s="8" t="s">
        <v>115</v>
      </c>
      <c r="C29" s="8" t="s">
        <v>33</v>
      </c>
      <c r="D29" s="8" t="s">
        <v>54</v>
      </c>
      <c r="E29" s="8" t="s">
        <v>174</v>
      </c>
      <c r="F29" s="8" t="s">
        <v>72</v>
      </c>
      <c r="G29" s="8" t="s">
        <v>175</v>
      </c>
      <c r="H29" s="8" t="s">
        <v>118</v>
      </c>
      <c r="I29" s="8" t="s">
        <v>176</v>
      </c>
      <c r="J29" s="8" t="s">
        <v>7</v>
      </c>
      <c r="K29" s="8"/>
      <c r="L29" s="9" t="s">
        <v>60</v>
      </c>
      <c r="M29" s="9" t="s">
        <v>60</v>
      </c>
      <c r="N29" s="8"/>
      <c r="O29" s="10"/>
      <c r="P29" s="10"/>
      <c r="Q29" s="10"/>
    </row>
    <row r="30" customFormat="false" ht="35.05" hidden="false" customHeight="false" outlineLevel="0" collapsed="false">
      <c r="A30" s="8" t="s">
        <v>177</v>
      </c>
      <c r="B30" s="8" t="s">
        <v>115</v>
      </c>
      <c r="C30" s="8" t="s">
        <v>33</v>
      </c>
      <c r="D30" s="8" t="s">
        <v>54</v>
      </c>
      <c r="E30" s="8" t="s">
        <v>178</v>
      </c>
      <c r="F30" s="8" t="s">
        <v>72</v>
      </c>
      <c r="G30" s="8" t="s">
        <v>175</v>
      </c>
      <c r="H30" s="8" t="s">
        <v>122</v>
      </c>
      <c r="I30" s="8" t="s">
        <v>179</v>
      </c>
      <c r="J30" s="8" t="s">
        <v>7</v>
      </c>
      <c r="K30" s="8"/>
      <c r="L30" s="9" t="s">
        <v>60</v>
      </c>
      <c r="M30" s="9" t="s">
        <v>60</v>
      </c>
      <c r="N30" s="8"/>
      <c r="O30" s="10"/>
      <c r="P30" s="10"/>
      <c r="Q30" s="10"/>
    </row>
    <row r="31" customFormat="false" ht="35.05" hidden="false" customHeight="false" outlineLevel="0" collapsed="false">
      <c r="A31" s="8" t="s">
        <v>180</v>
      </c>
      <c r="B31" s="8" t="s">
        <v>115</v>
      </c>
      <c r="C31" s="8" t="s">
        <v>33</v>
      </c>
      <c r="D31" s="8" t="s">
        <v>54</v>
      </c>
      <c r="E31" s="8" t="s">
        <v>181</v>
      </c>
      <c r="F31" s="8" t="s">
        <v>72</v>
      </c>
      <c r="G31" s="8" t="s">
        <v>182</v>
      </c>
      <c r="H31" s="8" t="s">
        <v>118</v>
      </c>
      <c r="I31" s="8" t="s">
        <v>183</v>
      </c>
      <c r="J31" s="8" t="s">
        <v>7</v>
      </c>
      <c r="K31" s="8"/>
      <c r="L31" s="9" t="s">
        <v>60</v>
      </c>
      <c r="M31" s="9" t="s">
        <v>60</v>
      </c>
      <c r="N31" s="8"/>
      <c r="O31" s="10"/>
      <c r="P31" s="10"/>
      <c r="Q31" s="10"/>
    </row>
    <row r="32" customFormat="false" ht="35.05" hidden="false" customHeight="false" outlineLevel="0" collapsed="false">
      <c r="A32" s="8" t="s">
        <v>184</v>
      </c>
      <c r="B32" s="8" t="s">
        <v>115</v>
      </c>
      <c r="C32" s="8" t="s">
        <v>33</v>
      </c>
      <c r="D32" s="8" t="s">
        <v>54</v>
      </c>
      <c r="E32" s="8" t="s">
        <v>185</v>
      </c>
      <c r="F32" s="8" t="s">
        <v>72</v>
      </c>
      <c r="G32" s="8" t="s">
        <v>182</v>
      </c>
      <c r="H32" s="8" t="s">
        <v>122</v>
      </c>
      <c r="I32" s="8" t="s">
        <v>186</v>
      </c>
      <c r="J32" s="8" t="s">
        <v>7</v>
      </c>
      <c r="K32" s="8"/>
      <c r="L32" s="9" t="s">
        <v>60</v>
      </c>
      <c r="M32" s="9" t="s">
        <v>60</v>
      </c>
      <c r="N32" s="8"/>
      <c r="O32" s="10"/>
      <c r="P32" s="10"/>
      <c r="Q32" s="10"/>
    </row>
    <row r="33" customFormat="false" ht="46.25" hidden="false" customHeight="false" outlineLevel="0" collapsed="false">
      <c r="A33" s="8" t="s">
        <v>187</v>
      </c>
      <c r="B33" s="8" t="s">
        <v>115</v>
      </c>
      <c r="C33" s="8" t="s">
        <v>33</v>
      </c>
      <c r="D33" s="8" t="s">
        <v>54</v>
      </c>
      <c r="E33" s="8" t="s">
        <v>188</v>
      </c>
      <c r="F33" s="8" t="s">
        <v>72</v>
      </c>
      <c r="G33" s="8" t="s">
        <v>189</v>
      </c>
      <c r="H33" s="8" t="s">
        <v>118</v>
      </c>
      <c r="I33" s="8" t="s">
        <v>190</v>
      </c>
      <c r="J33" s="8" t="s">
        <v>7</v>
      </c>
      <c r="K33" s="8"/>
      <c r="L33" s="9" t="s">
        <v>60</v>
      </c>
      <c r="M33" s="9" t="s">
        <v>60</v>
      </c>
      <c r="N33" s="8"/>
      <c r="O33" s="10"/>
      <c r="P33" s="10"/>
      <c r="Q33" s="10"/>
    </row>
    <row r="34" customFormat="false" ht="46.25" hidden="false" customHeight="false" outlineLevel="0" collapsed="false">
      <c r="A34" s="8" t="s">
        <v>191</v>
      </c>
      <c r="B34" s="8" t="s">
        <v>115</v>
      </c>
      <c r="C34" s="8" t="s">
        <v>33</v>
      </c>
      <c r="D34" s="8" t="s">
        <v>54</v>
      </c>
      <c r="E34" s="8" t="s">
        <v>192</v>
      </c>
      <c r="F34" s="8" t="s">
        <v>72</v>
      </c>
      <c r="G34" s="8" t="s">
        <v>189</v>
      </c>
      <c r="H34" s="8" t="s">
        <v>193</v>
      </c>
      <c r="I34" s="8" t="s">
        <v>194</v>
      </c>
      <c r="J34" s="8" t="s">
        <v>7</v>
      </c>
      <c r="K34" s="8"/>
      <c r="L34" s="9" t="s">
        <v>60</v>
      </c>
      <c r="M34" s="9" t="s">
        <v>60</v>
      </c>
      <c r="N34" s="8"/>
      <c r="O34" s="10"/>
      <c r="P34" s="10"/>
      <c r="Q34" s="10"/>
    </row>
    <row r="35" customFormat="false" ht="46.25" hidden="false" customHeight="false" outlineLevel="0" collapsed="false">
      <c r="A35" s="8" t="s">
        <v>195</v>
      </c>
      <c r="B35" s="8" t="s">
        <v>115</v>
      </c>
      <c r="C35" s="8" t="s">
        <v>33</v>
      </c>
      <c r="D35" s="8" t="s">
        <v>54</v>
      </c>
      <c r="E35" s="8" t="s">
        <v>196</v>
      </c>
      <c r="F35" s="8" t="s">
        <v>72</v>
      </c>
      <c r="G35" s="8" t="s">
        <v>197</v>
      </c>
      <c r="H35" s="8" t="s">
        <v>193</v>
      </c>
      <c r="I35" s="8" t="s">
        <v>198</v>
      </c>
      <c r="J35" s="8" t="s">
        <v>7</v>
      </c>
      <c r="K35" s="8"/>
      <c r="L35" s="9" t="s">
        <v>60</v>
      </c>
      <c r="M35" s="9" t="s">
        <v>60</v>
      </c>
      <c r="N35" s="8"/>
      <c r="O35" s="10"/>
      <c r="P35" s="10"/>
      <c r="Q35" s="10"/>
    </row>
    <row r="36" customFormat="false" ht="46.25" hidden="false" customHeight="false" outlineLevel="0" collapsed="false">
      <c r="A36" s="8" t="s">
        <v>199</v>
      </c>
      <c r="B36" s="8" t="s">
        <v>115</v>
      </c>
      <c r="C36" s="8" t="s">
        <v>33</v>
      </c>
      <c r="D36" s="8" t="s">
        <v>54</v>
      </c>
      <c r="E36" s="8" t="s">
        <v>200</v>
      </c>
      <c r="F36" s="8" t="s">
        <v>72</v>
      </c>
      <c r="G36" s="8" t="s">
        <v>197</v>
      </c>
      <c r="H36" s="8" t="s">
        <v>201</v>
      </c>
      <c r="I36" s="8" t="s">
        <v>202</v>
      </c>
      <c r="J36" s="8" t="s">
        <v>7</v>
      </c>
      <c r="K36" s="8"/>
      <c r="L36" s="9" t="s">
        <v>60</v>
      </c>
      <c r="M36" s="9" t="s">
        <v>60</v>
      </c>
      <c r="N36" s="8"/>
      <c r="O36" s="10"/>
      <c r="P36" s="10"/>
      <c r="Q36" s="10"/>
    </row>
    <row r="37" customFormat="false" ht="35.05" hidden="false" customHeight="false" outlineLevel="0" collapsed="false">
      <c r="A37" s="8" t="s">
        <v>203</v>
      </c>
      <c r="B37" s="8" t="s">
        <v>115</v>
      </c>
      <c r="C37" s="8" t="s">
        <v>33</v>
      </c>
      <c r="D37" s="8" t="s">
        <v>54</v>
      </c>
      <c r="E37" s="8" t="s">
        <v>204</v>
      </c>
      <c r="F37" s="8" t="s">
        <v>72</v>
      </c>
      <c r="G37" s="8" t="s">
        <v>205</v>
      </c>
      <c r="H37" s="8" t="s">
        <v>193</v>
      </c>
      <c r="I37" s="8" t="s">
        <v>206</v>
      </c>
      <c r="J37" s="8" t="s">
        <v>7</v>
      </c>
      <c r="K37" s="8"/>
      <c r="L37" s="9" t="s">
        <v>60</v>
      </c>
      <c r="M37" s="9" t="s">
        <v>60</v>
      </c>
      <c r="N37" s="8"/>
      <c r="O37" s="10"/>
      <c r="P37" s="10"/>
      <c r="Q37" s="10"/>
    </row>
    <row r="38" customFormat="false" ht="35.05" hidden="false" customHeight="false" outlineLevel="0" collapsed="false">
      <c r="A38" s="8" t="s">
        <v>207</v>
      </c>
      <c r="B38" s="8" t="s">
        <v>115</v>
      </c>
      <c r="C38" s="8" t="s">
        <v>33</v>
      </c>
      <c r="D38" s="8" t="s">
        <v>54</v>
      </c>
      <c r="E38" s="8" t="s">
        <v>208</v>
      </c>
      <c r="F38" s="8" t="s">
        <v>72</v>
      </c>
      <c r="G38" s="8" t="s">
        <v>205</v>
      </c>
      <c r="H38" s="8" t="s">
        <v>201</v>
      </c>
      <c r="I38" s="8" t="s">
        <v>209</v>
      </c>
      <c r="J38" s="8" t="s">
        <v>7</v>
      </c>
      <c r="K38" s="8"/>
      <c r="L38" s="9" t="s">
        <v>60</v>
      </c>
      <c r="M38" s="9" t="s">
        <v>60</v>
      </c>
      <c r="N38" s="8"/>
      <c r="O38" s="10"/>
      <c r="P38" s="10"/>
      <c r="Q38" s="10"/>
    </row>
    <row r="39" customFormat="false" ht="35.05" hidden="false" customHeight="false" outlineLevel="0" collapsed="false">
      <c r="A39" s="8" t="s">
        <v>210</v>
      </c>
      <c r="B39" s="8" t="s">
        <v>115</v>
      </c>
      <c r="C39" s="8" t="s">
        <v>33</v>
      </c>
      <c r="D39" s="8" t="s">
        <v>54</v>
      </c>
      <c r="E39" s="8" t="s">
        <v>211</v>
      </c>
      <c r="F39" s="8" t="s">
        <v>72</v>
      </c>
      <c r="G39" s="8" t="s">
        <v>212</v>
      </c>
      <c r="H39" s="8" t="s">
        <v>122</v>
      </c>
      <c r="I39" s="8" t="s">
        <v>213</v>
      </c>
      <c r="J39" s="8" t="s">
        <v>7</v>
      </c>
      <c r="K39" s="8"/>
      <c r="L39" s="9" t="s">
        <v>60</v>
      </c>
      <c r="M39" s="9" t="s">
        <v>60</v>
      </c>
      <c r="N39" s="8"/>
      <c r="O39" s="10"/>
      <c r="P39" s="10"/>
      <c r="Q39" s="10"/>
    </row>
    <row r="40" customFormat="false" ht="35.05" hidden="false" customHeight="false" outlineLevel="0" collapsed="false">
      <c r="A40" s="8" t="s">
        <v>214</v>
      </c>
      <c r="B40" s="8" t="s">
        <v>115</v>
      </c>
      <c r="C40" s="8" t="s">
        <v>33</v>
      </c>
      <c r="D40" s="8" t="s">
        <v>54</v>
      </c>
      <c r="E40" s="8" t="s">
        <v>215</v>
      </c>
      <c r="F40" s="8" t="s">
        <v>72</v>
      </c>
      <c r="G40" s="8" t="s">
        <v>212</v>
      </c>
      <c r="H40" s="8" t="s">
        <v>193</v>
      </c>
      <c r="I40" s="8" t="s">
        <v>216</v>
      </c>
      <c r="J40" s="8" t="s">
        <v>7</v>
      </c>
      <c r="K40" s="8"/>
      <c r="L40" s="9" t="s">
        <v>60</v>
      </c>
      <c r="M40" s="9" t="s">
        <v>60</v>
      </c>
      <c r="N40" s="8"/>
      <c r="O40" s="10"/>
      <c r="P40" s="10"/>
      <c r="Q40" s="10"/>
    </row>
    <row r="41" customFormat="false" ht="35.05" hidden="false" customHeight="false" outlineLevel="0" collapsed="false">
      <c r="A41" s="8" t="s">
        <v>217</v>
      </c>
      <c r="B41" s="8" t="s">
        <v>115</v>
      </c>
      <c r="C41" s="8" t="s">
        <v>33</v>
      </c>
      <c r="D41" s="8" t="s">
        <v>54</v>
      </c>
      <c r="E41" s="8" t="s">
        <v>218</v>
      </c>
      <c r="F41" s="8" t="s">
        <v>72</v>
      </c>
      <c r="G41" s="8" t="s">
        <v>219</v>
      </c>
      <c r="H41" s="8" t="s">
        <v>122</v>
      </c>
      <c r="I41" s="8" t="s">
        <v>220</v>
      </c>
      <c r="J41" s="8" t="s">
        <v>7</v>
      </c>
      <c r="K41" s="8"/>
      <c r="L41" s="9" t="s">
        <v>60</v>
      </c>
      <c r="M41" s="9" t="s">
        <v>60</v>
      </c>
      <c r="N41" s="8"/>
      <c r="O41" s="10"/>
      <c r="P41" s="10"/>
      <c r="Q41" s="10"/>
    </row>
    <row r="42" customFormat="false" ht="35.05" hidden="false" customHeight="false" outlineLevel="0" collapsed="false">
      <c r="A42" s="8" t="s">
        <v>221</v>
      </c>
      <c r="B42" s="8" t="s">
        <v>115</v>
      </c>
      <c r="C42" s="8" t="s">
        <v>33</v>
      </c>
      <c r="D42" s="8" t="s">
        <v>54</v>
      </c>
      <c r="E42" s="8" t="s">
        <v>222</v>
      </c>
      <c r="F42" s="8" t="s">
        <v>72</v>
      </c>
      <c r="G42" s="8" t="s">
        <v>219</v>
      </c>
      <c r="H42" s="8" t="s">
        <v>223</v>
      </c>
      <c r="I42" s="8" t="s">
        <v>224</v>
      </c>
      <c r="J42" s="8" t="s">
        <v>7</v>
      </c>
      <c r="K42" s="8"/>
      <c r="L42" s="9" t="s">
        <v>60</v>
      </c>
      <c r="M42" s="9" t="s">
        <v>60</v>
      </c>
      <c r="N42" s="8"/>
      <c r="O42" s="10"/>
      <c r="P42" s="10"/>
      <c r="Q42" s="10"/>
    </row>
    <row r="43" customFormat="false" ht="35.05" hidden="false" customHeight="false" outlineLevel="0" collapsed="false">
      <c r="A43" s="8" t="s">
        <v>225</v>
      </c>
      <c r="B43" s="8" t="s">
        <v>115</v>
      </c>
      <c r="C43" s="8" t="s">
        <v>33</v>
      </c>
      <c r="D43" s="8" t="s">
        <v>54</v>
      </c>
      <c r="E43" s="8" t="s">
        <v>226</v>
      </c>
      <c r="F43" s="8" t="s">
        <v>72</v>
      </c>
      <c r="G43" s="8" t="s">
        <v>227</v>
      </c>
      <c r="H43" s="8" t="s">
        <v>201</v>
      </c>
      <c r="I43" s="8" t="s">
        <v>228</v>
      </c>
      <c r="J43" s="8" t="s">
        <v>7</v>
      </c>
      <c r="K43" s="8"/>
      <c r="L43" s="9" t="s">
        <v>60</v>
      </c>
      <c r="M43" s="9" t="s">
        <v>60</v>
      </c>
      <c r="N43" s="8"/>
      <c r="O43" s="10"/>
      <c r="P43" s="10"/>
      <c r="Q43" s="10"/>
    </row>
    <row r="44" customFormat="false" ht="35.05" hidden="false" customHeight="false" outlineLevel="0" collapsed="false">
      <c r="A44" s="8" t="s">
        <v>229</v>
      </c>
      <c r="B44" s="8" t="s">
        <v>115</v>
      </c>
      <c r="C44" s="8" t="s">
        <v>33</v>
      </c>
      <c r="D44" s="8" t="s">
        <v>54</v>
      </c>
      <c r="E44" s="8" t="s">
        <v>230</v>
      </c>
      <c r="F44" s="8" t="s">
        <v>72</v>
      </c>
      <c r="G44" s="8" t="s">
        <v>227</v>
      </c>
      <c r="H44" s="8" t="s">
        <v>193</v>
      </c>
      <c r="I44" s="8" t="s">
        <v>231</v>
      </c>
      <c r="J44" s="8" t="s">
        <v>7</v>
      </c>
      <c r="K44" s="8"/>
      <c r="L44" s="9" t="s">
        <v>60</v>
      </c>
      <c r="M44" s="9" t="s">
        <v>60</v>
      </c>
      <c r="N44" s="8"/>
      <c r="O44" s="10"/>
      <c r="P44" s="10"/>
      <c r="Q44" s="10"/>
    </row>
    <row r="45" customFormat="false" ht="46.25" hidden="false" customHeight="false" outlineLevel="0" collapsed="false">
      <c r="A45" s="8" t="s">
        <v>232</v>
      </c>
      <c r="B45" s="8" t="s">
        <v>115</v>
      </c>
      <c r="C45" s="8" t="s">
        <v>33</v>
      </c>
      <c r="D45" s="8" t="s">
        <v>54</v>
      </c>
      <c r="E45" s="8" t="s">
        <v>233</v>
      </c>
      <c r="F45" s="8" t="s">
        <v>72</v>
      </c>
      <c r="G45" s="8" t="s">
        <v>234</v>
      </c>
      <c r="H45" s="8" t="s">
        <v>235</v>
      </c>
      <c r="I45" s="8" t="s">
        <v>236</v>
      </c>
      <c r="J45" s="8" t="s">
        <v>7</v>
      </c>
      <c r="K45" s="8"/>
      <c r="L45" s="9" t="s">
        <v>60</v>
      </c>
      <c r="M45" s="9" t="s">
        <v>60</v>
      </c>
      <c r="N45" s="8"/>
      <c r="O45" s="10"/>
      <c r="P45" s="10"/>
      <c r="Q45" s="10"/>
    </row>
    <row r="46" customFormat="false" ht="46.25" hidden="false" customHeight="false" outlineLevel="0" collapsed="false">
      <c r="A46" s="8" t="s">
        <v>237</v>
      </c>
      <c r="B46" s="8" t="s">
        <v>115</v>
      </c>
      <c r="C46" s="8" t="s">
        <v>33</v>
      </c>
      <c r="D46" s="8" t="s">
        <v>54</v>
      </c>
      <c r="E46" s="8" t="s">
        <v>238</v>
      </c>
      <c r="F46" s="8" t="s">
        <v>72</v>
      </c>
      <c r="G46" s="8" t="s">
        <v>234</v>
      </c>
      <c r="H46" s="8" t="s">
        <v>193</v>
      </c>
      <c r="I46" s="8" t="s">
        <v>239</v>
      </c>
      <c r="J46" s="8" t="s">
        <v>7</v>
      </c>
      <c r="K46" s="8"/>
      <c r="L46" s="9" t="s">
        <v>60</v>
      </c>
      <c r="M46" s="9" t="s">
        <v>60</v>
      </c>
      <c r="N46" s="8"/>
      <c r="O46" s="10"/>
      <c r="P46" s="10"/>
      <c r="Q46" s="10"/>
    </row>
    <row r="47" customFormat="false" ht="35.05" hidden="false" customHeight="false" outlineLevel="0" collapsed="false">
      <c r="A47" s="8" t="s">
        <v>240</v>
      </c>
      <c r="B47" s="8" t="s">
        <v>115</v>
      </c>
      <c r="C47" s="8" t="s">
        <v>33</v>
      </c>
      <c r="D47" s="8" t="s">
        <v>54</v>
      </c>
      <c r="E47" s="8" t="s">
        <v>241</v>
      </c>
      <c r="F47" s="8" t="s">
        <v>72</v>
      </c>
      <c r="G47" s="8" t="s">
        <v>242</v>
      </c>
      <c r="H47" s="8" t="s">
        <v>235</v>
      </c>
      <c r="I47" s="8" t="s">
        <v>243</v>
      </c>
      <c r="J47" s="8" t="s">
        <v>7</v>
      </c>
      <c r="K47" s="8"/>
      <c r="L47" s="9" t="s">
        <v>60</v>
      </c>
      <c r="M47" s="9" t="s">
        <v>60</v>
      </c>
      <c r="N47" s="8"/>
      <c r="O47" s="10"/>
      <c r="P47" s="10"/>
      <c r="Q47" s="10"/>
    </row>
    <row r="48" customFormat="false" ht="35.05" hidden="false" customHeight="false" outlineLevel="0" collapsed="false">
      <c r="A48" s="8" t="s">
        <v>244</v>
      </c>
      <c r="B48" s="8" t="s">
        <v>115</v>
      </c>
      <c r="C48" s="8" t="s">
        <v>33</v>
      </c>
      <c r="D48" s="8" t="s">
        <v>54</v>
      </c>
      <c r="E48" s="8" t="s">
        <v>245</v>
      </c>
      <c r="F48" s="8" t="s">
        <v>72</v>
      </c>
      <c r="G48" s="8" t="s">
        <v>242</v>
      </c>
      <c r="H48" s="8" t="s">
        <v>193</v>
      </c>
      <c r="I48" s="8" t="s">
        <v>246</v>
      </c>
      <c r="J48" s="8" t="s">
        <v>7</v>
      </c>
      <c r="K48" s="8"/>
      <c r="L48" s="9" t="s">
        <v>60</v>
      </c>
      <c r="M48" s="9" t="s">
        <v>60</v>
      </c>
      <c r="N48" s="8"/>
      <c r="O48" s="10"/>
      <c r="P48" s="10"/>
      <c r="Q48" s="10"/>
    </row>
    <row r="49" customFormat="false" ht="35.05" hidden="false" customHeight="false" outlineLevel="0" collapsed="false">
      <c r="A49" s="8" t="s">
        <v>247</v>
      </c>
      <c r="B49" s="8" t="s">
        <v>115</v>
      </c>
      <c r="C49" s="8" t="s">
        <v>33</v>
      </c>
      <c r="D49" s="8" t="s">
        <v>54</v>
      </c>
      <c r="E49" s="8" t="s">
        <v>248</v>
      </c>
      <c r="F49" s="8" t="s">
        <v>72</v>
      </c>
      <c r="G49" s="8" t="s">
        <v>249</v>
      </c>
      <c r="H49" s="8" t="s">
        <v>193</v>
      </c>
      <c r="I49" s="8" t="s">
        <v>250</v>
      </c>
      <c r="J49" s="8" t="s">
        <v>7</v>
      </c>
      <c r="K49" s="8"/>
      <c r="L49" s="9" t="s">
        <v>60</v>
      </c>
      <c r="M49" s="9" t="s">
        <v>60</v>
      </c>
      <c r="N49" s="8"/>
      <c r="O49" s="10"/>
      <c r="P49" s="10"/>
      <c r="Q49" s="10"/>
    </row>
    <row r="50" customFormat="false" ht="35.05" hidden="false" customHeight="false" outlineLevel="0" collapsed="false">
      <c r="A50" s="8" t="s">
        <v>251</v>
      </c>
      <c r="B50" s="8" t="s">
        <v>115</v>
      </c>
      <c r="C50" s="8" t="s">
        <v>33</v>
      </c>
      <c r="D50" s="8" t="s">
        <v>54</v>
      </c>
      <c r="E50" s="8" t="s">
        <v>252</v>
      </c>
      <c r="F50" s="8" t="s">
        <v>72</v>
      </c>
      <c r="G50" s="8" t="s">
        <v>249</v>
      </c>
      <c r="H50" s="8" t="s">
        <v>223</v>
      </c>
      <c r="I50" s="8" t="s">
        <v>253</v>
      </c>
      <c r="J50" s="8" t="s">
        <v>7</v>
      </c>
      <c r="K50" s="8"/>
      <c r="L50" s="9" t="s">
        <v>60</v>
      </c>
      <c r="M50" s="9" t="s">
        <v>60</v>
      </c>
      <c r="N50" s="8"/>
      <c r="O50" s="10"/>
      <c r="P50" s="10"/>
      <c r="Q50" s="10"/>
    </row>
    <row r="51" customFormat="false" ht="35.05" hidden="false" customHeight="false" outlineLevel="0" collapsed="false">
      <c r="A51" s="8" t="s">
        <v>254</v>
      </c>
      <c r="B51" s="8" t="s">
        <v>115</v>
      </c>
      <c r="C51" s="8" t="s">
        <v>33</v>
      </c>
      <c r="D51" s="8" t="s">
        <v>54</v>
      </c>
      <c r="E51" s="8" t="s">
        <v>255</v>
      </c>
      <c r="F51" s="8" t="s">
        <v>72</v>
      </c>
      <c r="G51" s="8" t="s">
        <v>256</v>
      </c>
      <c r="H51" s="8" t="s">
        <v>122</v>
      </c>
      <c r="I51" s="8" t="s">
        <v>257</v>
      </c>
      <c r="J51" s="8" t="s">
        <v>7</v>
      </c>
      <c r="K51" s="8"/>
      <c r="L51" s="9" t="s">
        <v>60</v>
      </c>
      <c r="M51" s="9" t="s">
        <v>60</v>
      </c>
      <c r="N51" s="8"/>
      <c r="O51" s="10"/>
      <c r="P51" s="10"/>
      <c r="Q51" s="10"/>
    </row>
    <row r="52" customFormat="false" ht="35.05" hidden="false" customHeight="false" outlineLevel="0" collapsed="false">
      <c r="A52" s="8" t="s">
        <v>258</v>
      </c>
      <c r="B52" s="8" t="s">
        <v>115</v>
      </c>
      <c r="C52" s="8" t="s">
        <v>33</v>
      </c>
      <c r="D52" s="8" t="s">
        <v>54</v>
      </c>
      <c r="E52" s="8" t="s">
        <v>259</v>
      </c>
      <c r="F52" s="8" t="s">
        <v>72</v>
      </c>
      <c r="G52" s="8" t="s">
        <v>256</v>
      </c>
      <c r="H52" s="8" t="s">
        <v>193</v>
      </c>
      <c r="I52" s="8" t="s">
        <v>260</v>
      </c>
      <c r="J52" s="8" t="s">
        <v>7</v>
      </c>
      <c r="K52" s="8"/>
      <c r="L52" s="9" t="s">
        <v>60</v>
      </c>
      <c r="M52" s="9" t="s">
        <v>60</v>
      </c>
      <c r="N52" s="8"/>
      <c r="O52" s="10"/>
      <c r="P52" s="10"/>
      <c r="Q52" s="10"/>
    </row>
    <row r="53" customFormat="false" ht="46.25" hidden="false" customHeight="false" outlineLevel="0" collapsed="false">
      <c r="A53" s="8" t="s">
        <v>261</v>
      </c>
      <c r="B53" s="8" t="s">
        <v>115</v>
      </c>
      <c r="C53" s="8" t="s">
        <v>33</v>
      </c>
      <c r="D53" s="8" t="s">
        <v>54</v>
      </c>
      <c r="E53" s="8" t="s">
        <v>262</v>
      </c>
      <c r="F53" s="8" t="s">
        <v>72</v>
      </c>
      <c r="G53" s="8" t="s">
        <v>263</v>
      </c>
      <c r="H53" s="8" t="s">
        <v>122</v>
      </c>
      <c r="I53" s="8" t="s">
        <v>264</v>
      </c>
      <c r="J53" s="8" t="s">
        <v>7</v>
      </c>
      <c r="K53" s="8"/>
      <c r="L53" s="9" t="s">
        <v>60</v>
      </c>
      <c r="M53" s="9" t="s">
        <v>60</v>
      </c>
      <c r="N53" s="8"/>
      <c r="O53" s="10"/>
      <c r="P53" s="10"/>
      <c r="Q53" s="10"/>
    </row>
    <row r="54" customFormat="false" ht="46.25" hidden="false" customHeight="false" outlineLevel="0" collapsed="false">
      <c r="A54" s="8" t="s">
        <v>265</v>
      </c>
      <c r="B54" s="8" t="s">
        <v>115</v>
      </c>
      <c r="C54" s="8" t="s">
        <v>33</v>
      </c>
      <c r="D54" s="8" t="s">
        <v>54</v>
      </c>
      <c r="E54" s="8" t="s">
        <v>266</v>
      </c>
      <c r="F54" s="8" t="s">
        <v>72</v>
      </c>
      <c r="G54" s="8" t="s">
        <v>263</v>
      </c>
      <c r="H54" s="8" t="s">
        <v>201</v>
      </c>
      <c r="I54" s="8" t="s">
        <v>267</v>
      </c>
      <c r="J54" s="8" t="s">
        <v>7</v>
      </c>
      <c r="K54" s="8"/>
      <c r="L54" s="9" t="s">
        <v>60</v>
      </c>
      <c r="M54" s="9" t="s">
        <v>60</v>
      </c>
      <c r="N54" s="8"/>
      <c r="O54" s="10"/>
      <c r="P54" s="10"/>
      <c r="Q54" s="10"/>
    </row>
    <row r="55" customFormat="false" ht="35.05" hidden="false" customHeight="false" outlineLevel="0" collapsed="false">
      <c r="A55" s="8" t="s">
        <v>268</v>
      </c>
      <c r="B55" s="8" t="s">
        <v>115</v>
      </c>
      <c r="C55" s="8" t="s">
        <v>33</v>
      </c>
      <c r="D55" s="8" t="s">
        <v>54</v>
      </c>
      <c r="E55" s="8" t="s">
        <v>269</v>
      </c>
      <c r="F55" s="8" t="s">
        <v>72</v>
      </c>
      <c r="G55" s="8" t="s">
        <v>270</v>
      </c>
      <c r="H55" s="8" t="s">
        <v>122</v>
      </c>
      <c r="I55" s="8" t="s">
        <v>271</v>
      </c>
      <c r="J55" s="8" t="s">
        <v>7</v>
      </c>
      <c r="K55" s="8"/>
      <c r="L55" s="9" t="s">
        <v>60</v>
      </c>
      <c r="M55" s="9" t="s">
        <v>60</v>
      </c>
      <c r="N55" s="8"/>
      <c r="O55" s="10"/>
      <c r="P55" s="10"/>
      <c r="Q55" s="10"/>
    </row>
    <row r="56" customFormat="false" ht="35.05" hidden="false" customHeight="false" outlineLevel="0" collapsed="false">
      <c r="A56" s="8" t="s">
        <v>272</v>
      </c>
      <c r="B56" s="8" t="s">
        <v>115</v>
      </c>
      <c r="C56" s="8" t="s">
        <v>33</v>
      </c>
      <c r="D56" s="8" t="s">
        <v>54</v>
      </c>
      <c r="E56" s="8" t="s">
        <v>273</v>
      </c>
      <c r="F56" s="8" t="s">
        <v>72</v>
      </c>
      <c r="G56" s="8" t="s">
        <v>270</v>
      </c>
      <c r="H56" s="8" t="s">
        <v>223</v>
      </c>
      <c r="I56" s="8" t="s">
        <v>274</v>
      </c>
      <c r="J56" s="8" t="s">
        <v>7</v>
      </c>
      <c r="K56" s="8"/>
      <c r="L56" s="9" t="s">
        <v>60</v>
      </c>
      <c r="M56" s="9" t="s">
        <v>60</v>
      </c>
      <c r="N56" s="8"/>
      <c r="O56" s="10"/>
      <c r="P56" s="10"/>
      <c r="Q56" s="10"/>
    </row>
    <row r="57" customFormat="false" ht="46.25" hidden="false" customHeight="false" outlineLevel="0" collapsed="false">
      <c r="A57" s="8" t="s">
        <v>275</v>
      </c>
      <c r="B57" s="8" t="s">
        <v>115</v>
      </c>
      <c r="C57" s="8" t="s">
        <v>33</v>
      </c>
      <c r="D57" s="8" t="s">
        <v>54</v>
      </c>
      <c r="E57" s="8" t="s">
        <v>276</v>
      </c>
      <c r="F57" s="8" t="s">
        <v>72</v>
      </c>
      <c r="G57" s="8" t="s">
        <v>277</v>
      </c>
      <c r="H57" s="8" t="s">
        <v>223</v>
      </c>
      <c r="I57" s="8" t="s">
        <v>278</v>
      </c>
      <c r="J57" s="8" t="s">
        <v>7</v>
      </c>
      <c r="K57" s="8"/>
      <c r="L57" s="9" t="s">
        <v>60</v>
      </c>
      <c r="M57" s="9" t="s">
        <v>60</v>
      </c>
      <c r="N57" s="8"/>
      <c r="O57" s="10"/>
      <c r="P57" s="10"/>
      <c r="Q57" s="10"/>
    </row>
    <row r="58" customFormat="false" ht="46.25" hidden="false" customHeight="false" outlineLevel="0" collapsed="false">
      <c r="A58" s="8" t="s">
        <v>279</v>
      </c>
      <c r="B58" s="8" t="s">
        <v>115</v>
      </c>
      <c r="C58" s="8" t="s">
        <v>33</v>
      </c>
      <c r="D58" s="8" t="s">
        <v>54</v>
      </c>
      <c r="E58" s="8" t="s">
        <v>280</v>
      </c>
      <c r="F58" s="8" t="s">
        <v>72</v>
      </c>
      <c r="G58" s="8" t="s">
        <v>277</v>
      </c>
      <c r="H58" s="8" t="s">
        <v>193</v>
      </c>
      <c r="I58" s="8" t="s">
        <v>281</v>
      </c>
      <c r="J58" s="8" t="s">
        <v>7</v>
      </c>
      <c r="K58" s="8"/>
      <c r="L58" s="9" t="s">
        <v>60</v>
      </c>
      <c r="M58" s="9" t="s">
        <v>60</v>
      </c>
      <c r="N58" s="8"/>
      <c r="O58" s="10"/>
      <c r="P58" s="10"/>
      <c r="Q58" s="10"/>
    </row>
    <row r="59" customFormat="false" ht="35.05" hidden="false" customHeight="false" outlineLevel="0" collapsed="false">
      <c r="A59" s="8" t="s">
        <v>282</v>
      </c>
      <c r="B59" s="8" t="s">
        <v>115</v>
      </c>
      <c r="C59" s="8" t="s">
        <v>33</v>
      </c>
      <c r="D59" s="8" t="s">
        <v>54</v>
      </c>
      <c r="E59" s="8" t="s">
        <v>283</v>
      </c>
      <c r="F59" s="8" t="s">
        <v>72</v>
      </c>
      <c r="G59" s="8" t="s">
        <v>284</v>
      </c>
      <c r="H59" s="8" t="s">
        <v>235</v>
      </c>
      <c r="I59" s="8" t="s">
        <v>285</v>
      </c>
      <c r="J59" s="8" t="s">
        <v>7</v>
      </c>
      <c r="K59" s="8"/>
      <c r="L59" s="9" t="s">
        <v>60</v>
      </c>
      <c r="M59" s="9" t="s">
        <v>60</v>
      </c>
      <c r="N59" s="8"/>
      <c r="O59" s="10"/>
      <c r="P59" s="10"/>
      <c r="Q59" s="10"/>
    </row>
    <row r="60" customFormat="false" ht="35.05" hidden="false" customHeight="false" outlineLevel="0" collapsed="false">
      <c r="A60" s="8" t="s">
        <v>286</v>
      </c>
      <c r="B60" s="8" t="s">
        <v>115</v>
      </c>
      <c r="C60" s="8" t="s">
        <v>33</v>
      </c>
      <c r="D60" s="8" t="s">
        <v>54</v>
      </c>
      <c r="E60" s="8" t="s">
        <v>287</v>
      </c>
      <c r="F60" s="8" t="s">
        <v>72</v>
      </c>
      <c r="G60" s="8" t="s">
        <v>284</v>
      </c>
      <c r="H60" s="8" t="s">
        <v>193</v>
      </c>
      <c r="I60" s="8" t="s">
        <v>288</v>
      </c>
      <c r="J60" s="8" t="s">
        <v>7</v>
      </c>
      <c r="K60" s="8"/>
      <c r="L60" s="9" t="s">
        <v>60</v>
      </c>
      <c r="M60" s="9" t="s">
        <v>60</v>
      </c>
      <c r="N60" s="8"/>
      <c r="O60" s="10"/>
      <c r="P60" s="10"/>
      <c r="Q60" s="10"/>
    </row>
    <row r="61" customFormat="false" ht="35.05" hidden="false" customHeight="false" outlineLevel="0" collapsed="false">
      <c r="A61" s="8" t="s">
        <v>289</v>
      </c>
      <c r="B61" s="8" t="s">
        <v>115</v>
      </c>
      <c r="C61" s="8" t="s">
        <v>33</v>
      </c>
      <c r="D61" s="8" t="s">
        <v>54</v>
      </c>
      <c r="E61" s="8" t="s">
        <v>290</v>
      </c>
      <c r="F61" s="8" t="s">
        <v>72</v>
      </c>
      <c r="G61" s="8" t="s">
        <v>291</v>
      </c>
      <c r="H61" s="8" t="s">
        <v>235</v>
      </c>
      <c r="I61" s="8" t="s">
        <v>292</v>
      </c>
      <c r="J61" s="8" t="s">
        <v>7</v>
      </c>
      <c r="K61" s="8"/>
      <c r="L61" s="9" t="s">
        <v>60</v>
      </c>
      <c r="M61" s="9" t="s">
        <v>60</v>
      </c>
      <c r="N61" s="8"/>
      <c r="O61" s="10"/>
      <c r="P61" s="10"/>
      <c r="Q61" s="10"/>
    </row>
    <row r="62" customFormat="false" ht="35.05" hidden="false" customHeight="false" outlineLevel="0" collapsed="false">
      <c r="A62" s="8" t="s">
        <v>293</v>
      </c>
      <c r="B62" s="8" t="s">
        <v>115</v>
      </c>
      <c r="C62" s="8" t="s">
        <v>33</v>
      </c>
      <c r="D62" s="8" t="s">
        <v>54</v>
      </c>
      <c r="E62" s="8" t="s">
        <v>294</v>
      </c>
      <c r="F62" s="8" t="s">
        <v>72</v>
      </c>
      <c r="G62" s="8" t="s">
        <v>291</v>
      </c>
      <c r="H62" s="8" t="s">
        <v>193</v>
      </c>
      <c r="I62" s="8" t="s">
        <v>295</v>
      </c>
      <c r="J62" s="8" t="s">
        <v>7</v>
      </c>
      <c r="K62" s="8"/>
      <c r="L62" s="9" t="s">
        <v>60</v>
      </c>
      <c r="M62" s="9" t="s">
        <v>60</v>
      </c>
      <c r="N62" s="8"/>
      <c r="O62" s="10"/>
      <c r="P62" s="10"/>
      <c r="Q62" s="10"/>
    </row>
    <row r="63" customFormat="false" ht="35.05" hidden="false" customHeight="false" outlineLevel="0" collapsed="false">
      <c r="A63" s="8" t="s">
        <v>296</v>
      </c>
      <c r="B63" s="8" t="s">
        <v>115</v>
      </c>
      <c r="C63" s="8" t="s">
        <v>33</v>
      </c>
      <c r="D63" s="8" t="s">
        <v>54</v>
      </c>
      <c r="E63" s="8" t="s">
        <v>297</v>
      </c>
      <c r="F63" s="8" t="s">
        <v>72</v>
      </c>
      <c r="G63" s="8" t="s">
        <v>298</v>
      </c>
      <c r="H63" s="8" t="s">
        <v>223</v>
      </c>
      <c r="I63" s="8" t="s">
        <v>299</v>
      </c>
      <c r="J63" s="8" t="s">
        <v>7</v>
      </c>
      <c r="K63" s="8"/>
      <c r="L63" s="9" t="s">
        <v>60</v>
      </c>
      <c r="M63" s="9" t="s">
        <v>60</v>
      </c>
      <c r="N63" s="8"/>
      <c r="O63" s="10"/>
      <c r="P63" s="10"/>
      <c r="Q63" s="10"/>
    </row>
    <row r="64" customFormat="false" ht="35.05" hidden="false" customHeight="false" outlineLevel="0" collapsed="false">
      <c r="A64" s="8" t="s">
        <v>300</v>
      </c>
      <c r="B64" s="8" t="s">
        <v>115</v>
      </c>
      <c r="C64" s="8" t="s">
        <v>33</v>
      </c>
      <c r="D64" s="8" t="s">
        <v>54</v>
      </c>
      <c r="E64" s="8" t="s">
        <v>301</v>
      </c>
      <c r="F64" s="8" t="s">
        <v>72</v>
      </c>
      <c r="G64" s="8" t="s">
        <v>298</v>
      </c>
      <c r="H64" s="8" t="s">
        <v>201</v>
      </c>
      <c r="I64" s="8" t="s">
        <v>302</v>
      </c>
      <c r="J64" s="8" t="s">
        <v>7</v>
      </c>
      <c r="K64" s="8"/>
      <c r="L64" s="9" t="s">
        <v>60</v>
      </c>
      <c r="M64" s="9" t="s">
        <v>60</v>
      </c>
      <c r="N64" s="8"/>
      <c r="O64" s="10"/>
      <c r="P64" s="10"/>
      <c r="Q64" s="10"/>
    </row>
    <row r="65" customFormat="false" ht="35.05" hidden="false" customHeight="false" outlineLevel="0" collapsed="false">
      <c r="A65" s="8" t="s">
        <v>303</v>
      </c>
      <c r="B65" s="8" t="s">
        <v>115</v>
      </c>
      <c r="C65" s="8" t="s">
        <v>33</v>
      </c>
      <c r="D65" s="8" t="s">
        <v>54</v>
      </c>
      <c r="E65" s="8" t="s">
        <v>304</v>
      </c>
      <c r="F65" s="8" t="s">
        <v>72</v>
      </c>
      <c r="G65" s="8" t="s">
        <v>305</v>
      </c>
      <c r="H65" s="8" t="s">
        <v>201</v>
      </c>
      <c r="I65" s="8" t="s">
        <v>306</v>
      </c>
      <c r="J65" s="8" t="s">
        <v>7</v>
      </c>
      <c r="K65" s="8"/>
      <c r="L65" s="9" t="s">
        <v>60</v>
      </c>
      <c r="M65" s="9" t="s">
        <v>60</v>
      </c>
      <c r="N65" s="8"/>
      <c r="O65" s="10"/>
      <c r="P65" s="10"/>
      <c r="Q65" s="10"/>
    </row>
    <row r="66" customFormat="false" ht="35.05" hidden="false" customHeight="false" outlineLevel="0" collapsed="false">
      <c r="A66" s="8" t="s">
        <v>307</v>
      </c>
      <c r="B66" s="8" t="s">
        <v>115</v>
      </c>
      <c r="C66" s="8" t="s">
        <v>33</v>
      </c>
      <c r="D66" s="8" t="s">
        <v>54</v>
      </c>
      <c r="E66" s="8" t="s">
        <v>308</v>
      </c>
      <c r="F66" s="8" t="s">
        <v>72</v>
      </c>
      <c r="G66" s="8" t="s">
        <v>305</v>
      </c>
      <c r="H66" s="8" t="s">
        <v>193</v>
      </c>
      <c r="I66" s="8" t="s">
        <v>309</v>
      </c>
      <c r="J66" s="8" t="s">
        <v>7</v>
      </c>
      <c r="K66" s="8"/>
      <c r="L66" s="9" t="s">
        <v>60</v>
      </c>
      <c r="M66" s="9" t="s">
        <v>60</v>
      </c>
      <c r="N66" s="8"/>
      <c r="O66" s="10"/>
      <c r="P66" s="10"/>
      <c r="Q66" s="10"/>
    </row>
    <row r="67" customFormat="false" ht="35.05" hidden="false" customHeight="false" outlineLevel="0" collapsed="false">
      <c r="A67" s="8" t="s">
        <v>310</v>
      </c>
      <c r="B67" s="8" t="s">
        <v>115</v>
      </c>
      <c r="C67" s="8" t="s">
        <v>33</v>
      </c>
      <c r="D67" s="8" t="s">
        <v>54</v>
      </c>
      <c r="E67" s="8" t="s">
        <v>311</v>
      </c>
      <c r="F67" s="8" t="s">
        <v>72</v>
      </c>
      <c r="G67" s="8" t="s">
        <v>312</v>
      </c>
      <c r="H67" s="8" t="s">
        <v>201</v>
      </c>
      <c r="I67" s="8" t="s">
        <v>313</v>
      </c>
      <c r="J67" s="8" t="s">
        <v>7</v>
      </c>
      <c r="K67" s="8"/>
      <c r="L67" s="9" t="s">
        <v>60</v>
      </c>
      <c r="M67" s="9" t="s">
        <v>60</v>
      </c>
      <c r="N67" s="8"/>
      <c r="O67" s="10"/>
      <c r="P67" s="10"/>
      <c r="Q67" s="10"/>
    </row>
    <row r="68" customFormat="false" ht="35.05" hidden="false" customHeight="false" outlineLevel="0" collapsed="false">
      <c r="A68" s="8" t="s">
        <v>314</v>
      </c>
      <c r="B68" s="8" t="s">
        <v>115</v>
      </c>
      <c r="C68" s="8" t="s">
        <v>33</v>
      </c>
      <c r="D68" s="8" t="s">
        <v>54</v>
      </c>
      <c r="E68" s="8" t="s">
        <v>315</v>
      </c>
      <c r="F68" s="8" t="s">
        <v>72</v>
      </c>
      <c r="G68" s="8" t="s">
        <v>312</v>
      </c>
      <c r="H68" s="8" t="s">
        <v>223</v>
      </c>
      <c r="I68" s="8" t="s">
        <v>316</v>
      </c>
      <c r="J68" s="8" t="s">
        <v>7</v>
      </c>
      <c r="K68" s="8"/>
      <c r="L68" s="9" t="s">
        <v>60</v>
      </c>
      <c r="M68" s="9" t="s">
        <v>60</v>
      </c>
      <c r="N68" s="8"/>
      <c r="O68" s="10"/>
      <c r="P68" s="10"/>
      <c r="Q68" s="10"/>
    </row>
    <row r="69" customFormat="false" ht="35.05" hidden="false" customHeight="false" outlineLevel="0" collapsed="false">
      <c r="A69" s="8" t="s">
        <v>317</v>
      </c>
      <c r="B69" s="8" t="s">
        <v>115</v>
      </c>
      <c r="C69" s="8" t="s">
        <v>33</v>
      </c>
      <c r="D69" s="8" t="s">
        <v>54</v>
      </c>
      <c r="E69" s="8" t="s">
        <v>318</v>
      </c>
      <c r="F69" s="8" t="s">
        <v>72</v>
      </c>
      <c r="G69" s="8" t="s">
        <v>319</v>
      </c>
      <c r="H69" s="8" t="s">
        <v>201</v>
      </c>
      <c r="I69" s="8" t="s">
        <v>320</v>
      </c>
      <c r="J69" s="8" t="s">
        <v>7</v>
      </c>
      <c r="K69" s="8"/>
      <c r="L69" s="9" t="s">
        <v>60</v>
      </c>
      <c r="M69" s="9" t="s">
        <v>60</v>
      </c>
      <c r="N69" s="8"/>
      <c r="O69" s="10"/>
      <c r="P69" s="10"/>
      <c r="Q69" s="10"/>
    </row>
    <row r="70" customFormat="false" ht="35.05" hidden="false" customHeight="false" outlineLevel="0" collapsed="false">
      <c r="A70" s="8" t="s">
        <v>321</v>
      </c>
      <c r="B70" s="8" t="s">
        <v>115</v>
      </c>
      <c r="C70" s="8" t="s">
        <v>33</v>
      </c>
      <c r="D70" s="8" t="s">
        <v>54</v>
      </c>
      <c r="E70" s="8" t="s">
        <v>322</v>
      </c>
      <c r="F70" s="8" t="s">
        <v>72</v>
      </c>
      <c r="G70" s="8" t="s">
        <v>319</v>
      </c>
      <c r="H70" s="8" t="s">
        <v>223</v>
      </c>
      <c r="I70" s="8" t="s">
        <v>323</v>
      </c>
      <c r="J70" s="8" t="s">
        <v>7</v>
      </c>
      <c r="K70" s="8"/>
      <c r="L70" s="9" t="s">
        <v>60</v>
      </c>
      <c r="M70" s="9" t="s">
        <v>60</v>
      </c>
      <c r="N70" s="8"/>
      <c r="O70" s="10"/>
      <c r="P70" s="10"/>
      <c r="Q70" s="10"/>
    </row>
    <row r="71" customFormat="false" ht="35.05" hidden="false" customHeight="false" outlineLevel="0" collapsed="false">
      <c r="A71" s="8" t="s">
        <v>324</v>
      </c>
      <c r="B71" s="8" t="s">
        <v>115</v>
      </c>
      <c r="C71" s="8" t="s">
        <v>33</v>
      </c>
      <c r="D71" s="8" t="s">
        <v>54</v>
      </c>
      <c r="E71" s="8" t="s">
        <v>325</v>
      </c>
      <c r="F71" s="8" t="s">
        <v>72</v>
      </c>
      <c r="G71" s="8" t="s">
        <v>326</v>
      </c>
      <c r="H71" s="8" t="s">
        <v>193</v>
      </c>
      <c r="I71" s="8" t="s">
        <v>327</v>
      </c>
      <c r="J71" s="8" t="s">
        <v>7</v>
      </c>
      <c r="K71" s="8"/>
      <c r="L71" s="9" t="s">
        <v>60</v>
      </c>
      <c r="M71" s="9" t="s">
        <v>60</v>
      </c>
      <c r="N71" s="8"/>
      <c r="O71" s="10"/>
      <c r="P71" s="10"/>
      <c r="Q71" s="10"/>
    </row>
    <row r="72" customFormat="false" ht="35.05" hidden="false" customHeight="false" outlineLevel="0" collapsed="false">
      <c r="A72" s="8" t="s">
        <v>328</v>
      </c>
      <c r="B72" s="8" t="s">
        <v>115</v>
      </c>
      <c r="C72" s="8" t="s">
        <v>33</v>
      </c>
      <c r="D72" s="8" t="s">
        <v>54</v>
      </c>
      <c r="E72" s="8" t="s">
        <v>329</v>
      </c>
      <c r="F72" s="8" t="s">
        <v>72</v>
      </c>
      <c r="G72" s="8" t="s">
        <v>326</v>
      </c>
      <c r="H72" s="8" t="s">
        <v>223</v>
      </c>
      <c r="I72" s="8" t="s">
        <v>330</v>
      </c>
      <c r="J72" s="8" t="s">
        <v>7</v>
      </c>
      <c r="K72" s="8"/>
      <c r="L72" s="9" t="s">
        <v>60</v>
      </c>
      <c r="M72" s="9" t="s">
        <v>60</v>
      </c>
      <c r="N72" s="8"/>
      <c r="O72" s="10"/>
      <c r="P72" s="10"/>
      <c r="Q72" s="10"/>
    </row>
    <row r="73" customFormat="false" ht="23.85" hidden="false" customHeight="false" outlineLevel="0" collapsed="false">
      <c r="A73" s="8" t="s">
        <v>331</v>
      </c>
      <c r="B73" s="8" t="s">
        <v>115</v>
      </c>
      <c r="C73" s="8" t="s">
        <v>33</v>
      </c>
      <c r="D73" s="8" t="s">
        <v>54</v>
      </c>
      <c r="E73" s="8" t="s">
        <v>332</v>
      </c>
      <c r="F73" s="8" t="s">
        <v>72</v>
      </c>
      <c r="G73" s="8" t="s">
        <v>333</v>
      </c>
      <c r="H73" s="8" t="s">
        <v>201</v>
      </c>
      <c r="I73" s="8" t="s">
        <v>334</v>
      </c>
      <c r="J73" s="8" t="s">
        <v>7</v>
      </c>
      <c r="K73" s="8"/>
      <c r="L73" s="9" t="s">
        <v>60</v>
      </c>
      <c r="M73" s="9" t="s">
        <v>60</v>
      </c>
      <c r="N73" s="8"/>
      <c r="O73" s="10"/>
      <c r="P73" s="10"/>
      <c r="Q73" s="10"/>
    </row>
    <row r="74" customFormat="false" ht="23.85" hidden="false" customHeight="false" outlineLevel="0" collapsed="false">
      <c r="A74" s="8" t="s">
        <v>335</v>
      </c>
      <c r="B74" s="8" t="s">
        <v>115</v>
      </c>
      <c r="C74" s="8" t="s">
        <v>33</v>
      </c>
      <c r="D74" s="8" t="s">
        <v>77</v>
      </c>
      <c r="E74" s="8" t="s">
        <v>336</v>
      </c>
      <c r="F74" s="8" t="s">
        <v>72</v>
      </c>
      <c r="G74" s="8" t="s">
        <v>337</v>
      </c>
      <c r="H74" s="8" t="s">
        <v>58</v>
      </c>
      <c r="I74" s="8" t="s">
        <v>338</v>
      </c>
      <c r="J74" s="8" t="s">
        <v>7</v>
      </c>
      <c r="K74" s="8"/>
      <c r="L74" s="9" t="s">
        <v>60</v>
      </c>
      <c r="M74" s="9" t="s">
        <v>60</v>
      </c>
      <c r="N74" s="8"/>
      <c r="O74" s="10"/>
      <c r="P74" s="10"/>
      <c r="Q74" s="10"/>
    </row>
    <row r="75" customFormat="false" ht="23.85" hidden="false" customHeight="false" outlineLevel="0" collapsed="false">
      <c r="A75" s="8" t="s">
        <v>339</v>
      </c>
      <c r="B75" s="8" t="s">
        <v>115</v>
      </c>
      <c r="C75" s="8" t="s">
        <v>33</v>
      </c>
      <c r="D75" s="8" t="s">
        <v>77</v>
      </c>
      <c r="E75" s="8" t="s">
        <v>340</v>
      </c>
      <c r="F75" s="8" t="s">
        <v>72</v>
      </c>
      <c r="G75" s="8" t="s">
        <v>341</v>
      </c>
      <c r="H75" s="8" t="s">
        <v>342</v>
      </c>
      <c r="I75" s="8" t="s">
        <v>343</v>
      </c>
      <c r="J75" s="8" t="s">
        <v>7</v>
      </c>
      <c r="K75" s="8"/>
      <c r="L75" s="9" t="s">
        <v>60</v>
      </c>
      <c r="M75" s="9" t="s">
        <v>60</v>
      </c>
      <c r="N75" s="8"/>
      <c r="O75" s="10"/>
      <c r="P75" s="10"/>
      <c r="Q75" s="10"/>
    </row>
    <row r="76" customFormat="false" ht="23.85" hidden="false" customHeight="false" outlineLevel="0" collapsed="false">
      <c r="A76" s="8" t="s">
        <v>344</v>
      </c>
      <c r="B76" s="8" t="s">
        <v>115</v>
      </c>
      <c r="C76" s="8" t="s">
        <v>33</v>
      </c>
      <c r="D76" s="8" t="s">
        <v>109</v>
      </c>
      <c r="E76" s="8" t="s">
        <v>345</v>
      </c>
      <c r="F76" s="8" t="s">
        <v>72</v>
      </c>
      <c r="G76" s="8" t="s">
        <v>346</v>
      </c>
      <c r="H76" s="8" t="s">
        <v>347</v>
      </c>
      <c r="I76" s="8" t="s">
        <v>348</v>
      </c>
      <c r="J76" s="8" t="s">
        <v>7</v>
      </c>
      <c r="K76" s="8"/>
      <c r="L76" s="9" t="s">
        <v>60</v>
      </c>
      <c r="M76" s="9" t="s">
        <v>60</v>
      </c>
      <c r="N76" s="8"/>
      <c r="O76" s="10"/>
      <c r="P76" s="10"/>
      <c r="Q76" s="10"/>
    </row>
    <row r="77" customFormat="false" ht="35.05" hidden="false" customHeight="false" outlineLevel="0" collapsed="false">
      <c r="A77" s="8" t="s">
        <v>349</v>
      </c>
      <c r="B77" s="8" t="s">
        <v>115</v>
      </c>
      <c r="C77" s="8" t="s">
        <v>33</v>
      </c>
      <c r="D77" s="8" t="s">
        <v>54</v>
      </c>
      <c r="E77" s="8" t="s">
        <v>350</v>
      </c>
      <c r="F77" s="8" t="s">
        <v>351</v>
      </c>
      <c r="G77" s="8" t="s">
        <v>352</v>
      </c>
      <c r="H77" s="8" t="s">
        <v>353</v>
      </c>
      <c r="I77" s="8" t="s">
        <v>354</v>
      </c>
      <c r="J77" s="8" t="s">
        <v>8</v>
      </c>
      <c r="K77" s="8" t="s">
        <v>355</v>
      </c>
      <c r="L77" s="8"/>
      <c r="M77" s="8"/>
      <c r="N77" s="8"/>
      <c r="O77" s="10"/>
      <c r="P77" s="10"/>
      <c r="Q77" s="10"/>
    </row>
    <row r="78" customFormat="false" ht="23.85" hidden="false" customHeight="false" outlineLevel="0" collapsed="false">
      <c r="A78" s="8" t="s">
        <v>356</v>
      </c>
      <c r="B78" s="8" t="s">
        <v>115</v>
      </c>
      <c r="C78" s="8" t="s">
        <v>33</v>
      </c>
      <c r="D78" s="8" t="s">
        <v>54</v>
      </c>
      <c r="E78" s="8" t="s">
        <v>357</v>
      </c>
      <c r="F78" s="8" t="s">
        <v>72</v>
      </c>
      <c r="G78" s="8" t="s">
        <v>358</v>
      </c>
      <c r="H78" s="8" t="s">
        <v>359</v>
      </c>
      <c r="I78" s="8" t="s">
        <v>360</v>
      </c>
      <c r="J78" s="8" t="s">
        <v>8</v>
      </c>
      <c r="K78" s="8" t="s">
        <v>355</v>
      </c>
      <c r="L78" s="8"/>
      <c r="M78" s="8"/>
      <c r="N78" s="8"/>
      <c r="O78" s="10"/>
      <c r="P78" s="10"/>
      <c r="Q78" s="10"/>
    </row>
    <row r="79" customFormat="false" ht="23.85" hidden="false" customHeight="false" outlineLevel="0" collapsed="false">
      <c r="A79" s="8" t="s">
        <v>361</v>
      </c>
      <c r="B79" s="8" t="s">
        <v>115</v>
      </c>
      <c r="C79" s="8" t="s">
        <v>33</v>
      </c>
      <c r="D79" s="8" t="s">
        <v>77</v>
      </c>
      <c r="E79" s="8" t="s">
        <v>362</v>
      </c>
      <c r="F79" s="8" t="s">
        <v>363</v>
      </c>
      <c r="G79" s="8" t="s">
        <v>364</v>
      </c>
      <c r="H79" s="8" t="s">
        <v>365</v>
      </c>
      <c r="I79" s="8" t="s">
        <v>366</v>
      </c>
      <c r="J79" s="8" t="s">
        <v>8</v>
      </c>
      <c r="K79" s="8" t="s">
        <v>97</v>
      </c>
      <c r="L79" s="8"/>
      <c r="M79" s="8"/>
      <c r="N79" s="8"/>
      <c r="O79" s="10"/>
      <c r="P79" s="10"/>
      <c r="Q79" s="10"/>
    </row>
    <row r="80" customFormat="false" ht="23.85" hidden="false" customHeight="false" outlineLevel="0" collapsed="false">
      <c r="A80" s="8" t="s">
        <v>367</v>
      </c>
      <c r="B80" s="8" t="s">
        <v>115</v>
      </c>
      <c r="C80" s="8" t="s">
        <v>33</v>
      </c>
      <c r="D80" s="8" t="s">
        <v>77</v>
      </c>
      <c r="E80" s="8" t="s">
        <v>368</v>
      </c>
      <c r="F80" s="8" t="s">
        <v>351</v>
      </c>
      <c r="G80" s="8" t="s">
        <v>369</v>
      </c>
      <c r="H80" s="8" t="s">
        <v>370</v>
      </c>
      <c r="I80" s="8" t="s">
        <v>371</v>
      </c>
      <c r="J80" s="8" t="s">
        <v>8</v>
      </c>
      <c r="K80" s="8" t="s">
        <v>355</v>
      </c>
      <c r="L80" s="8"/>
      <c r="M80" s="8"/>
      <c r="N80" s="8"/>
      <c r="O80" s="10"/>
      <c r="P80" s="10"/>
      <c r="Q80" s="10"/>
    </row>
  </sheetData>
  <autoFilter ref="A1:Q80"/>
  <dataValidations count="1">
    <dataValidation allowBlank="true" errorStyle="stop" operator="between" showDropDown="false" showErrorMessage="false" showInputMessage="false" sqref="O2:O80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13"/>
    <col collapsed="false" customWidth="true" hidden="false" outlineLevel="0" max="7" min="7" style="0" width="50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12"/>
    <col collapsed="false" customWidth="true" hidden="false" outlineLevel="0" max="11" min="11" style="0" width="40"/>
    <col collapsed="false" customWidth="true" hidden="false" outlineLevel="0" max="13" min="12" style="0" width="13"/>
    <col collapsed="false" customWidth="true" hidden="false" outlineLevel="0" max="14" min="14" style="0" width="40"/>
    <col collapsed="false" customWidth="true" hidden="false" outlineLevel="0" max="15" min="15" style="0" width="13"/>
    <col collapsed="false" customWidth="true" hidden="false" outlineLevel="0" max="16" min="16" style="0" width="30"/>
    <col collapsed="false" customWidth="true" hidden="false" outlineLevel="0" max="17" min="17" style="0" width="12"/>
  </cols>
  <sheetData>
    <row r="1" customFormat="false" ht="23.85" hidden="false" customHeight="false" outlineLevel="0" collapsed="false">
      <c r="A1" s="3" t="s">
        <v>36</v>
      </c>
      <c r="B1" s="3" t="s">
        <v>37</v>
      </c>
      <c r="C1" s="3" t="s">
        <v>28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51</v>
      </c>
    </row>
    <row r="2" customFormat="false" ht="23.85" hidden="false" customHeight="false" outlineLevel="0" collapsed="false">
      <c r="A2" s="8" t="s">
        <v>372</v>
      </c>
      <c r="B2" s="8" t="s">
        <v>18</v>
      </c>
      <c r="C2" s="8" t="s">
        <v>35</v>
      </c>
      <c r="D2" s="8" t="s">
        <v>54</v>
      </c>
      <c r="E2" s="8" t="s">
        <v>373</v>
      </c>
      <c r="F2" s="8" t="s">
        <v>374</v>
      </c>
      <c r="G2" s="8" t="s">
        <v>375</v>
      </c>
      <c r="H2" s="8" t="s">
        <v>84</v>
      </c>
      <c r="I2" s="8" t="s">
        <v>376</v>
      </c>
      <c r="J2" s="8" t="s">
        <v>7</v>
      </c>
      <c r="K2" s="8"/>
      <c r="L2" s="9" t="s">
        <v>60</v>
      </c>
      <c r="M2" s="9" t="s">
        <v>60</v>
      </c>
      <c r="N2" s="8"/>
      <c r="O2" s="10"/>
      <c r="P2" s="10"/>
      <c r="Q2" s="10"/>
    </row>
    <row r="3" customFormat="false" ht="23.85" hidden="false" customHeight="false" outlineLevel="0" collapsed="false">
      <c r="A3" s="8" t="s">
        <v>377</v>
      </c>
      <c r="B3" s="8" t="s">
        <v>18</v>
      </c>
      <c r="C3" s="8" t="s">
        <v>31</v>
      </c>
      <c r="D3" s="8" t="s">
        <v>54</v>
      </c>
      <c r="E3" s="8" t="s">
        <v>378</v>
      </c>
      <c r="F3" s="8" t="s">
        <v>374</v>
      </c>
      <c r="G3" s="8" t="s">
        <v>379</v>
      </c>
      <c r="H3" s="8"/>
      <c r="I3" s="8" t="s">
        <v>380</v>
      </c>
      <c r="J3" s="8" t="s">
        <v>7</v>
      </c>
      <c r="K3" s="8"/>
      <c r="L3" s="9" t="s">
        <v>60</v>
      </c>
      <c r="M3" s="9" t="s">
        <v>60</v>
      </c>
      <c r="N3" s="8"/>
      <c r="O3" s="10"/>
      <c r="P3" s="10"/>
      <c r="Q3" s="10"/>
    </row>
    <row r="4" customFormat="false" ht="23.85" hidden="false" customHeight="false" outlineLevel="0" collapsed="false">
      <c r="A4" s="8" t="s">
        <v>381</v>
      </c>
      <c r="B4" s="8" t="s">
        <v>18</v>
      </c>
      <c r="C4" s="8" t="s">
        <v>32</v>
      </c>
      <c r="D4" s="8" t="s">
        <v>77</v>
      </c>
      <c r="E4" s="8" t="s">
        <v>382</v>
      </c>
      <c r="F4" s="8" t="s">
        <v>374</v>
      </c>
      <c r="G4" s="8" t="s">
        <v>383</v>
      </c>
      <c r="H4" s="8"/>
      <c r="I4" s="8" t="s">
        <v>384</v>
      </c>
      <c r="J4" s="8" t="s">
        <v>7</v>
      </c>
      <c r="K4" s="8"/>
      <c r="L4" s="9" t="s">
        <v>60</v>
      </c>
      <c r="M4" s="9" t="s">
        <v>60</v>
      </c>
      <c r="N4" s="8"/>
      <c r="O4" s="10"/>
      <c r="P4" s="10"/>
      <c r="Q4" s="10"/>
    </row>
    <row r="5" customFormat="false" ht="23.85" hidden="false" customHeight="false" outlineLevel="0" collapsed="false">
      <c r="A5" s="8" t="s">
        <v>385</v>
      </c>
      <c r="B5" s="8" t="s">
        <v>18</v>
      </c>
      <c r="C5" s="8" t="s">
        <v>29</v>
      </c>
      <c r="D5" s="8" t="s">
        <v>77</v>
      </c>
      <c r="E5" s="8" t="s">
        <v>386</v>
      </c>
      <c r="F5" s="8" t="s">
        <v>374</v>
      </c>
      <c r="G5" s="8" t="s">
        <v>387</v>
      </c>
      <c r="H5" s="8"/>
      <c r="I5" s="8" t="s">
        <v>388</v>
      </c>
      <c r="J5" s="8" t="s">
        <v>7</v>
      </c>
      <c r="K5" s="8"/>
      <c r="L5" s="9" t="s">
        <v>60</v>
      </c>
      <c r="M5" s="9" t="s">
        <v>60</v>
      </c>
      <c r="N5" s="8"/>
      <c r="O5" s="10"/>
      <c r="P5" s="10"/>
      <c r="Q5" s="10"/>
    </row>
    <row r="6" customFormat="false" ht="23.85" hidden="false" customHeight="false" outlineLevel="0" collapsed="false">
      <c r="A6" s="8" t="s">
        <v>389</v>
      </c>
      <c r="B6" s="8" t="s">
        <v>18</v>
      </c>
      <c r="C6" s="8" t="s">
        <v>29</v>
      </c>
      <c r="D6" s="8" t="s">
        <v>77</v>
      </c>
      <c r="E6" s="8" t="s">
        <v>390</v>
      </c>
      <c r="F6" s="8" t="s">
        <v>374</v>
      </c>
      <c r="G6" s="8" t="s">
        <v>391</v>
      </c>
      <c r="H6" s="8"/>
      <c r="I6" s="8" t="s">
        <v>392</v>
      </c>
      <c r="J6" s="8" t="s">
        <v>7</v>
      </c>
      <c r="K6" s="8"/>
      <c r="L6" s="9" t="s">
        <v>60</v>
      </c>
      <c r="M6" s="9" t="s">
        <v>60</v>
      </c>
      <c r="N6" s="8"/>
      <c r="O6" s="10"/>
      <c r="P6" s="10"/>
      <c r="Q6" s="10"/>
    </row>
    <row r="7" customFormat="false" ht="23.85" hidden="false" customHeight="false" outlineLevel="0" collapsed="false">
      <c r="A7" s="8" t="s">
        <v>393</v>
      </c>
      <c r="B7" s="8" t="s">
        <v>18</v>
      </c>
      <c r="C7" s="8" t="s">
        <v>29</v>
      </c>
      <c r="D7" s="8" t="s">
        <v>77</v>
      </c>
      <c r="E7" s="8" t="s">
        <v>394</v>
      </c>
      <c r="F7" s="8" t="s">
        <v>374</v>
      </c>
      <c r="G7" s="8" t="s">
        <v>395</v>
      </c>
      <c r="H7" s="8"/>
      <c r="I7" s="8" t="s">
        <v>396</v>
      </c>
      <c r="J7" s="8" t="s">
        <v>7</v>
      </c>
      <c r="K7" s="8"/>
      <c r="L7" s="9" t="s">
        <v>60</v>
      </c>
      <c r="M7" s="9" t="s">
        <v>60</v>
      </c>
      <c r="N7" s="8"/>
      <c r="O7" s="10"/>
      <c r="P7" s="10"/>
      <c r="Q7" s="10"/>
    </row>
    <row r="8" customFormat="false" ht="23.85" hidden="false" customHeight="false" outlineLevel="0" collapsed="false">
      <c r="A8" s="8" t="s">
        <v>397</v>
      </c>
      <c r="B8" s="8" t="s">
        <v>18</v>
      </c>
      <c r="C8" s="8" t="s">
        <v>31</v>
      </c>
      <c r="D8" s="8" t="s">
        <v>54</v>
      </c>
      <c r="E8" s="8" t="s">
        <v>398</v>
      </c>
      <c r="F8" s="8" t="s">
        <v>374</v>
      </c>
      <c r="G8" s="8" t="s">
        <v>399</v>
      </c>
      <c r="H8" s="8"/>
      <c r="I8" s="8" t="s">
        <v>400</v>
      </c>
      <c r="J8" s="8" t="s">
        <v>7</v>
      </c>
      <c r="K8" s="8"/>
      <c r="L8" s="9" t="s">
        <v>60</v>
      </c>
      <c r="M8" s="9" t="s">
        <v>60</v>
      </c>
      <c r="N8" s="8"/>
      <c r="O8" s="10"/>
      <c r="P8" s="10"/>
      <c r="Q8" s="10"/>
    </row>
    <row r="9" customFormat="false" ht="23.85" hidden="false" customHeight="false" outlineLevel="0" collapsed="false">
      <c r="A9" s="8" t="s">
        <v>401</v>
      </c>
      <c r="B9" s="8" t="s">
        <v>18</v>
      </c>
      <c r="C9" s="8" t="s">
        <v>29</v>
      </c>
      <c r="D9" s="8" t="s">
        <v>77</v>
      </c>
      <c r="E9" s="8" t="s">
        <v>402</v>
      </c>
      <c r="F9" s="8" t="s">
        <v>403</v>
      </c>
      <c r="G9" s="8" t="s">
        <v>404</v>
      </c>
      <c r="H9" s="8"/>
      <c r="I9" s="8" t="s">
        <v>405</v>
      </c>
      <c r="J9" s="8" t="s">
        <v>7</v>
      </c>
      <c r="K9" s="8"/>
      <c r="L9" s="9" t="s">
        <v>60</v>
      </c>
      <c r="M9" s="9" t="s">
        <v>60</v>
      </c>
      <c r="N9" s="8"/>
      <c r="O9" s="10"/>
      <c r="P9" s="10"/>
      <c r="Q9" s="10"/>
    </row>
    <row r="10" customFormat="false" ht="23.85" hidden="false" customHeight="false" outlineLevel="0" collapsed="false">
      <c r="A10" s="8" t="s">
        <v>406</v>
      </c>
      <c r="B10" s="8" t="s">
        <v>18</v>
      </c>
      <c r="C10" s="8" t="s">
        <v>29</v>
      </c>
      <c r="D10" s="8" t="s">
        <v>77</v>
      </c>
      <c r="E10" s="8" t="s">
        <v>407</v>
      </c>
      <c r="F10" s="8" t="s">
        <v>403</v>
      </c>
      <c r="G10" s="8" t="s">
        <v>408</v>
      </c>
      <c r="H10" s="8"/>
      <c r="I10" s="8" t="s">
        <v>409</v>
      </c>
      <c r="J10" s="8" t="s">
        <v>7</v>
      </c>
      <c r="K10" s="8"/>
      <c r="L10" s="9" t="s">
        <v>60</v>
      </c>
      <c r="M10" s="9" t="s">
        <v>60</v>
      </c>
      <c r="N10" s="8"/>
      <c r="O10" s="10"/>
      <c r="P10" s="10"/>
      <c r="Q10" s="10"/>
    </row>
    <row r="11" customFormat="false" ht="23.85" hidden="false" customHeight="false" outlineLevel="0" collapsed="false">
      <c r="A11" s="8" t="s">
        <v>410</v>
      </c>
      <c r="B11" s="8" t="s">
        <v>18</v>
      </c>
      <c r="C11" s="8" t="s">
        <v>29</v>
      </c>
      <c r="D11" s="8" t="s">
        <v>77</v>
      </c>
      <c r="E11" s="8" t="s">
        <v>411</v>
      </c>
      <c r="F11" s="8" t="s">
        <v>403</v>
      </c>
      <c r="G11" s="8" t="s">
        <v>412</v>
      </c>
      <c r="H11" s="8"/>
      <c r="I11" s="8" t="s">
        <v>413</v>
      </c>
      <c r="J11" s="8" t="s">
        <v>7</v>
      </c>
      <c r="K11" s="8"/>
      <c r="L11" s="9" t="s">
        <v>60</v>
      </c>
      <c r="M11" s="9" t="s">
        <v>60</v>
      </c>
      <c r="N11" s="8"/>
      <c r="O11" s="10"/>
      <c r="P11" s="10"/>
      <c r="Q11" s="10"/>
    </row>
    <row r="12" customFormat="false" ht="23.85" hidden="false" customHeight="false" outlineLevel="0" collapsed="false">
      <c r="A12" s="8" t="s">
        <v>414</v>
      </c>
      <c r="B12" s="8" t="s">
        <v>18</v>
      </c>
      <c r="C12" s="8" t="s">
        <v>29</v>
      </c>
      <c r="D12" s="8" t="s">
        <v>77</v>
      </c>
      <c r="E12" s="8" t="s">
        <v>415</v>
      </c>
      <c r="F12" s="8" t="s">
        <v>403</v>
      </c>
      <c r="G12" s="8" t="s">
        <v>416</v>
      </c>
      <c r="H12" s="8"/>
      <c r="I12" s="8" t="s">
        <v>417</v>
      </c>
      <c r="J12" s="8" t="s">
        <v>7</v>
      </c>
      <c r="K12" s="8"/>
      <c r="L12" s="9" t="s">
        <v>60</v>
      </c>
      <c r="M12" s="9" t="s">
        <v>60</v>
      </c>
      <c r="N12" s="8"/>
      <c r="O12" s="10"/>
      <c r="P12" s="10"/>
      <c r="Q12" s="10"/>
    </row>
    <row r="13" customFormat="false" ht="23.85" hidden="false" customHeight="false" outlineLevel="0" collapsed="false">
      <c r="A13" s="8" t="s">
        <v>418</v>
      </c>
      <c r="B13" s="8" t="s">
        <v>18</v>
      </c>
      <c r="C13" s="8" t="s">
        <v>31</v>
      </c>
      <c r="D13" s="8" t="s">
        <v>77</v>
      </c>
      <c r="E13" s="8" t="s">
        <v>419</v>
      </c>
      <c r="F13" s="8" t="s">
        <v>403</v>
      </c>
      <c r="G13" s="8" t="s">
        <v>420</v>
      </c>
      <c r="H13" s="8"/>
      <c r="I13" s="8" t="s">
        <v>421</v>
      </c>
      <c r="J13" s="8" t="s">
        <v>7</v>
      </c>
      <c r="K13" s="8"/>
      <c r="L13" s="9" t="s">
        <v>60</v>
      </c>
      <c r="M13" s="9" t="s">
        <v>60</v>
      </c>
      <c r="N13" s="8"/>
      <c r="O13" s="10"/>
      <c r="P13" s="10"/>
      <c r="Q13" s="10"/>
    </row>
    <row r="14" customFormat="false" ht="23.85" hidden="false" customHeight="false" outlineLevel="0" collapsed="false">
      <c r="A14" s="8" t="s">
        <v>422</v>
      </c>
      <c r="B14" s="8" t="s">
        <v>18</v>
      </c>
      <c r="C14" s="8" t="s">
        <v>31</v>
      </c>
      <c r="D14" s="8" t="s">
        <v>109</v>
      </c>
      <c r="E14" s="8" t="s">
        <v>423</v>
      </c>
      <c r="F14" s="8" t="s">
        <v>403</v>
      </c>
      <c r="G14" s="8" t="s">
        <v>424</v>
      </c>
      <c r="H14" s="8"/>
      <c r="I14" s="8" t="s">
        <v>425</v>
      </c>
      <c r="J14" s="8" t="s">
        <v>7</v>
      </c>
      <c r="K14" s="8"/>
      <c r="L14" s="9" t="s">
        <v>60</v>
      </c>
      <c r="M14" s="9" t="s">
        <v>60</v>
      </c>
      <c r="N14" s="8"/>
      <c r="O14" s="10"/>
      <c r="P14" s="10"/>
      <c r="Q14" s="10"/>
    </row>
    <row r="15" customFormat="false" ht="23.85" hidden="false" customHeight="false" outlineLevel="0" collapsed="false">
      <c r="A15" s="8" t="s">
        <v>426</v>
      </c>
      <c r="B15" s="8" t="s">
        <v>18</v>
      </c>
      <c r="C15" s="8" t="s">
        <v>31</v>
      </c>
      <c r="D15" s="8" t="s">
        <v>109</v>
      </c>
      <c r="E15" s="8" t="s">
        <v>427</v>
      </c>
      <c r="F15" s="8" t="s">
        <v>403</v>
      </c>
      <c r="G15" s="8" t="s">
        <v>428</v>
      </c>
      <c r="H15" s="8"/>
      <c r="I15" s="8" t="s">
        <v>429</v>
      </c>
      <c r="J15" s="8" t="s">
        <v>7</v>
      </c>
      <c r="K15" s="8"/>
      <c r="L15" s="9" t="s">
        <v>60</v>
      </c>
      <c r="M15" s="9" t="s">
        <v>60</v>
      </c>
      <c r="N15" s="8"/>
      <c r="O15" s="10"/>
      <c r="P15" s="10"/>
      <c r="Q15" s="10"/>
    </row>
    <row r="16" customFormat="false" ht="23.85" hidden="false" customHeight="false" outlineLevel="0" collapsed="false">
      <c r="A16" s="8" t="s">
        <v>430</v>
      </c>
      <c r="B16" s="8" t="s">
        <v>18</v>
      </c>
      <c r="C16" s="8" t="s">
        <v>30</v>
      </c>
      <c r="D16" s="8" t="s">
        <v>54</v>
      </c>
      <c r="E16" s="8" t="s">
        <v>431</v>
      </c>
      <c r="F16" s="8" t="s">
        <v>432</v>
      </c>
      <c r="G16" s="8" t="s">
        <v>433</v>
      </c>
      <c r="H16" s="8"/>
      <c r="I16" s="8" t="s">
        <v>434</v>
      </c>
      <c r="J16" s="8" t="s">
        <v>7</v>
      </c>
      <c r="K16" s="8"/>
      <c r="L16" s="9" t="s">
        <v>60</v>
      </c>
      <c r="M16" s="9" t="s">
        <v>60</v>
      </c>
      <c r="N16" s="8"/>
      <c r="O16" s="10"/>
      <c r="P16" s="10"/>
      <c r="Q16" s="10"/>
    </row>
    <row r="17" customFormat="false" ht="15" hidden="false" customHeight="false" outlineLevel="0" collapsed="false">
      <c r="A17" s="8" t="s">
        <v>435</v>
      </c>
      <c r="B17" s="8" t="s">
        <v>18</v>
      </c>
      <c r="C17" s="8" t="s">
        <v>30</v>
      </c>
      <c r="D17" s="8" t="s">
        <v>54</v>
      </c>
      <c r="E17" s="8" t="s">
        <v>436</v>
      </c>
      <c r="F17" s="8" t="s">
        <v>432</v>
      </c>
      <c r="G17" s="8" t="s">
        <v>437</v>
      </c>
      <c r="H17" s="8"/>
      <c r="I17" s="8" t="s">
        <v>438</v>
      </c>
      <c r="J17" s="8" t="s">
        <v>7</v>
      </c>
      <c r="K17" s="8"/>
      <c r="L17" s="9" t="s">
        <v>60</v>
      </c>
      <c r="M17" s="9" t="s">
        <v>60</v>
      </c>
      <c r="N17" s="8"/>
      <c r="O17" s="10"/>
      <c r="P17" s="10"/>
      <c r="Q17" s="10"/>
    </row>
    <row r="18" customFormat="false" ht="23.85" hidden="false" customHeight="false" outlineLevel="0" collapsed="false">
      <c r="A18" s="8" t="s">
        <v>439</v>
      </c>
      <c r="B18" s="8" t="s">
        <v>18</v>
      </c>
      <c r="C18" s="8" t="s">
        <v>30</v>
      </c>
      <c r="D18" s="8" t="s">
        <v>109</v>
      </c>
      <c r="E18" s="8" t="s">
        <v>440</v>
      </c>
      <c r="F18" s="8" t="s">
        <v>432</v>
      </c>
      <c r="G18" s="8" t="s">
        <v>441</v>
      </c>
      <c r="H18" s="8"/>
      <c r="I18" s="8" t="s">
        <v>442</v>
      </c>
      <c r="J18" s="8" t="s">
        <v>7</v>
      </c>
      <c r="K18" s="8"/>
      <c r="L18" s="9" t="s">
        <v>60</v>
      </c>
      <c r="M18" s="9" t="s">
        <v>60</v>
      </c>
      <c r="N18" s="8"/>
      <c r="O18" s="10"/>
      <c r="P18" s="10"/>
      <c r="Q18" s="10"/>
    </row>
    <row r="19" customFormat="false" ht="35.05" hidden="false" customHeight="false" outlineLevel="0" collapsed="false">
      <c r="A19" s="8" t="s">
        <v>443</v>
      </c>
      <c r="B19" s="8" t="s">
        <v>18</v>
      </c>
      <c r="C19" s="8" t="s">
        <v>31</v>
      </c>
      <c r="D19" s="8" t="s">
        <v>54</v>
      </c>
      <c r="E19" s="8" t="s">
        <v>444</v>
      </c>
      <c r="F19" s="8" t="s">
        <v>403</v>
      </c>
      <c r="G19" s="8" t="s">
        <v>445</v>
      </c>
      <c r="H19" s="8" t="s">
        <v>446</v>
      </c>
      <c r="I19" s="8" t="s">
        <v>447</v>
      </c>
      <c r="J19" s="8" t="s">
        <v>7</v>
      </c>
      <c r="K19" s="8"/>
      <c r="L19" s="9" t="s">
        <v>60</v>
      </c>
      <c r="M19" s="9" t="s">
        <v>60</v>
      </c>
      <c r="N19" s="8"/>
      <c r="O19" s="10"/>
      <c r="P19" s="10"/>
      <c r="Q19" s="10"/>
    </row>
    <row r="20" customFormat="false" ht="23.85" hidden="false" customHeight="false" outlineLevel="0" collapsed="false">
      <c r="A20" s="8" t="s">
        <v>448</v>
      </c>
      <c r="B20" s="8" t="s">
        <v>18</v>
      </c>
      <c r="C20" s="8" t="s">
        <v>31</v>
      </c>
      <c r="D20" s="8" t="s">
        <v>54</v>
      </c>
      <c r="E20" s="8" t="s">
        <v>449</v>
      </c>
      <c r="F20" s="8" t="s">
        <v>403</v>
      </c>
      <c r="G20" s="8" t="s">
        <v>450</v>
      </c>
      <c r="H20" s="8" t="s">
        <v>451</v>
      </c>
      <c r="I20" s="8" t="s">
        <v>452</v>
      </c>
      <c r="J20" s="8" t="s">
        <v>7</v>
      </c>
      <c r="K20" s="8"/>
      <c r="L20" s="9" t="s">
        <v>60</v>
      </c>
      <c r="M20" s="9" t="s">
        <v>60</v>
      </c>
      <c r="N20" s="8"/>
      <c r="O20" s="10"/>
      <c r="P20" s="10"/>
      <c r="Q20" s="10"/>
    </row>
    <row r="21" customFormat="false" ht="23.85" hidden="false" customHeight="false" outlineLevel="0" collapsed="false">
      <c r="A21" s="8" t="s">
        <v>453</v>
      </c>
      <c r="B21" s="8" t="s">
        <v>18</v>
      </c>
      <c r="C21" s="8" t="s">
        <v>35</v>
      </c>
      <c r="D21" s="8" t="s">
        <v>77</v>
      </c>
      <c r="E21" s="8" t="s">
        <v>454</v>
      </c>
      <c r="F21" s="8" t="s">
        <v>403</v>
      </c>
      <c r="G21" s="8" t="s">
        <v>455</v>
      </c>
      <c r="H21" s="8"/>
      <c r="I21" s="8" t="s">
        <v>456</v>
      </c>
      <c r="J21" s="8" t="s">
        <v>7</v>
      </c>
      <c r="K21" s="8"/>
      <c r="L21" s="9" t="s">
        <v>60</v>
      </c>
      <c r="M21" s="9" t="s">
        <v>60</v>
      </c>
      <c r="N21" s="8"/>
      <c r="O21" s="10"/>
      <c r="P21" s="10"/>
      <c r="Q21" s="10"/>
    </row>
    <row r="22" customFormat="false" ht="35.05" hidden="false" customHeight="false" outlineLevel="0" collapsed="false">
      <c r="A22" s="8" t="s">
        <v>457</v>
      </c>
      <c r="B22" s="8" t="s">
        <v>18</v>
      </c>
      <c r="C22" s="8" t="s">
        <v>35</v>
      </c>
      <c r="D22" s="8" t="s">
        <v>54</v>
      </c>
      <c r="E22" s="8" t="s">
        <v>458</v>
      </c>
      <c r="F22" s="8" t="s">
        <v>403</v>
      </c>
      <c r="G22" s="8" t="s">
        <v>459</v>
      </c>
      <c r="H22" s="8"/>
      <c r="I22" s="8" t="s">
        <v>460</v>
      </c>
      <c r="J22" s="8" t="s">
        <v>8</v>
      </c>
      <c r="K22" s="8" t="s">
        <v>461</v>
      </c>
      <c r="L22" s="8"/>
      <c r="M22" s="8"/>
      <c r="N22" s="8"/>
      <c r="O22" s="10"/>
      <c r="P22" s="10"/>
      <c r="Q22" s="10"/>
    </row>
    <row r="23" customFormat="false" ht="35.05" hidden="false" customHeight="false" outlineLevel="0" collapsed="false">
      <c r="A23" s="8" t="s">
        <v>462</v>
      </c>
      <c r="B23" s="8" t="s">
        <v>18</v>
      </c>
      <c r="C23" s="8" t="s">
        <v>35</v>
      </c>
      <c r="D23" s="8" t="s">
        <v>77</v>
      </c>
      <c r="E23" s="8" t="s">
        <v>463</v>
      </c>
      <c r="F23" s="8" t="s">
        <v>464</v>
      </c>
      <c r="G23" s="8" t="s">
        <v>465</v>
      </c>
      <c r="H23" s="8"/>
      <c r="I23" s="8" t="s">
        <v>466</v>
      </c>
      <c r="J23" s="8" t="s">
        <v>8</v>
      </c>
      <c r="K23" s="8" t="s">
        <v>461</v>
      </c>
      <c r="L23" s="8"/>
      <c r="M23" s="8"/>
      <c r="N23" s="8"/>
      <c r="O23" s="10"/>
      <c r="P23" s="10"/>
      <c r="Q23" s="10"/>
    </row>
    <row r="24" customFormat="false" ht="23.85" hidden="false" customHeight="false" outlineLevel="0" collapsed="false">
      <c r="A24" s="8" t="s">
        <v>467</v>
      </c>
      <c r="B24" s="8" t="s">
        <v>18</v>
      </c>
      <c r="C24" s="8" t="s">
        <v>31</v>
      </c>
      <c r="D24" s="8" t="s">
        <v>77</v>
      </c>
      <c r="E24" s="8" t="s">
        <v>468</v>
      </c>
      <c r="F24" s="8" t="s">
        <v>469</v>
      </c>
      <c r="G24" s="8" t="s">
        <v>470</v>
      </c>
      <c r="H24" s="8"/>
      <c r="I24" s="8" t="s">
        <v>471</v>
      </c>
      <c r="J24" s="8" t="s">
        <v>7</v>
      </c>
      <c r="K24" s="8"/>
      <c r="L24" s="9" t="s">
        <v>60</v>
      </c>
      <c r="M24" s="9" t="s">
        <v>60</v>
      </c>
      <c r="N24" s="8"/>
      <c r="O24" s="10"/>
      <c r="P24" s="10"/>
      <c r="Q24" s="10"/>
    </row>
    <row r="25" customFormat="false" ht="15" hidden="false" customHeight="false" outlineLevel="0" collapsed="false">
      <c r="A25" s="8" t="s">
        <v>472</v>
      </c>
      <c r="B25" s="8" t="s">
        <v>18</v>
      </c>
      <c r="C25" s="8" t="s">
        <v>31</v>
      </c>
      <c r="D25" s="8" t="s">
        <v>77</v>
      </c>
      <c r="E25" s="8" t="s">
        <v>473</v>
      </c>
      <c r="F25" s="8" t="s">
        <v>469</v>
      </c>
      <c r="G25" s="8" t="s">
        <v>474</v>
      </c>
      <c r="H25" s="8"/>
      <c r="I25" s="8" t="s">
        <v>475</v>
      </c>
      <c r="J25" s="8" t="s">
        <v>7</v>
      </c>
      <c r="K25" s="8"/>
      <c r="L25" s="9" t="s">
        <v>60</v>
      </c>
      <c r="M25" s="9" t="s">
        <v>60</v>
      </c>
      <c r="N25" s="8"/>
      <c r="O25" s="10"/>
      <c r="P25" s="10"/>
      <c r="Q25" s="10"/>
    </row>
    <row r="26" customFormat="false" ht="15" hidden="false" customHeight="false" outlineLevel="0" collapsed="false">
      <c r="A26" s="8" t="s">
        <v>476</v>
      </c>
      <c r="B26" s="8" t="s">
        <v>18</v>
      </c>
      <c r="C26" s="8" t="s">
        <v>31</v>
      </c>
      <c r="D26" s="8" t="s">
        <v>109</v>
      </c>
      <c r="E26" s="8" t="s">
        <v>477</v>
      </c>
      <c r="F26" s="8" t="s">
        <v>469</v>
      </c>
      <c r="G26" s="8" t="s">
        <v>478</v>
      </c>
      <c r="H26" s="8"/>
      <c r="I26" s="8" t="s">
        <v>479</v>
      </c>
      <c r="J26" s="8" t="s">
        <v>7</v>
      </c>
      <c r="K26" s="8"/>
      <c r="L26" s="9" t="s">
        <v>60</v>
      </c>
      <c r="M26" s="9" t="s">
        <v>60</v>
      </c>
      <c r="N26" s="8"/>
      <c r="O26" s="10"/>
      <c r="P26" s="10"/>
      <c r="Q26" s="10"/>
    </row>
    <row r="27" customFormat="false" ht="23.85" hidden="false" customHeight="false" outlineLevel="0" collapsed="false">
      <c r="A27" s="8" t="s">
        <v>480</v>
      </c>
      <c r="B27" s="8" t="s">
        <v>18</v>
      </c>
      <c r="C27" s="8" t="s">
        <v>32</v>
      </c>
      <c r="D27" s="8" t="s">
        <v>77</v>
      </c>
      <c r="E27" s="8" t="s">
        <v>481</v>
      </c>
      <c r="F27" s="8" t="s">
        <v>469</v>
      </c>
      <c r="G27" s="8" t="s">
        <v>482</v>
      </c>
      <c r="H27" s="8"/>
      <c r="I27" s="8" t="s">
        <v>483</v>
      </c>
      <c r="J27" s="8" t="s">
        <v>7</v>
      </c>
      <c r="K27" s="8"/>
      <c r="L27" s="9" t="s">
        <v>60</v>
      </c>
      <c r="M27" s="9" t="s">
        <v>60</v>
      </c>
      <c r="N27" s="8"/>
      <c r="O27" s="10"/>
      <c r="P27" s="10"/>
      <c r="Q27" s="10"/>
    </row>
    <row r="28" customFormat="false" ht="23.85" hidden="false" customHeight="false" outlineLevel="0" collapsed="false">
      <c r="A28" s="8" t="s">
        <v>484</v>
      </c>
      <c r="B28" s="8" t="s">
        <v>18</v>
      </c>
      <c r="C28" s="8" t="s">
        <v>32</v>
      </c>
      <c r="D28" s="8" t="s">
        <v>77</v>
      </c>
      <c r="E28" s="8" t="s">
        <v>485</v>
      </c>
      <c r="F28" s="8" t="s">
        <v>486</v>
      </c>
      <c r="G28" s="8" t="s">
        <v>487</v>
      </c>
      <c r="H28" s="8"/>
      <c r="I28" s="8" t="s">
        <v>488</v>
      </c>
      <c r="J28" s="8" t="s">
        <v>7</v>
      </c>
      <c r="K28" s="8"/>
      <c r="L28" s="9" t="s">
        <v>60</v>
      </c>
      <c r="M28" s="9" t="s">
        <v>60</v>
      </c>
      <c r="N28" s="8"/>
      <c r="O28" s="10"/>
      <c r="P28" s="10"/>
      <c r="Q28" s="10"/>
    </row>
    <row r="29" customFormat="false" ht="23.85" hidden="false" customHeight="false" outlineLevel="0" collapsed="false">
      <c r="A29" s="8" t="s">
        <v>489</v>
      </c>
      <c r="B29" s="8" t="s">
        <v>18</v>
      </c>
      <c r="C29" s="8" t="s">
        <v>32</v>
      </c>
      <c r="D29" s="8" t="s">
        <v>109</v>
      </c>
      <c r="E29" s="8" t="s">
        <v>490</v>
      </c>
      <c r="F29" s="8" t="s">
        <v>486</v>
      </c>
      <c r="G29" s="8" t="s">
        <v>491</v>
      </c>
      <c r="H29" s="8"/>
      <c r="I29" s="8" t="s">
        <v>492</v>
      </c>
      <c r="J29" s="8" t="s">
        <v>8</v>
      </c>
      <c r="K29" s="8" t="s">
        <v>493</v>
      </c>
      <c r="L29" s="8"/>
      <c r="M29" s="8"/>
      <c r="N29" s="8"/>
      <c r="O29" s="10"/>
      <c r="P29" s="10"/>
      <c r="Q29" s="10"/>
    </row>
    <row r="30" customFormat="false" ht="23.85" hidden="false" customHeight="false" outlineLevel="0" collapsed="false">
      <c r="A30" s="8" t="s">
        <v>494</v>
      </c>
      <c r="B30" s="8" t="s">
        <v>18</v>
      </c>
      <c r="C30" s="8" t="s">
        <v>32</v>
      </c>
      <c r="D30" s="8" t="s">
        <v>77</v>
      </c>
      <c r="E30" s="8" t="s">
        <v>495</v>
      </c>
      <c r="F30" s="8" t="s">
        <v>496</v>
      </c>
      <c r="G30" s="8" t="s">
        <v>497</v>
      </c>
      <c r="H30" s="8"/>
      <c r="I30" s="8" t="s">
        <v>498</v>
      </c>
      <c r="J30" s="8" t="s">
        <v>8</v>
      </c>
      <c r="K30" s="8" t="s">
        <v>499</v>
      </c>
      <c r="L30" s="8"/>
      <c r="M30" s="8"/>
      <c r="N30" s="8"/>
      <c r="O30" s="10"/>
      <c r="P30" s="10"/>
      <c r="Q30" s="10"/>
    </row>
    <row r="31" customFormat="false" ht="23.85" hidden="false" customHeight="false" outlineLevel="0" collapsed="false">
      <c r="A31" s="8" t="s">
        <v>500</v>
      </c>
      <c r="B31" s="8" t="s">
        <v>18</v>
      </c>
      <c r="C31" s="8" t="s">
        <v>35</v>
      </c>
      <c r="D31" s="8" t="s">
        <v>109</v>
      </c>
      <c r="E31" s="8" t="s">
        <v>501</v>
      </c>
      <c r="F31" s="8" t="s">
        <v>469</v>
      </c>
      <c r="G31" s="8" t="s">
        <v>502</v>
      </c>
      <c r="H31" s="8"/>
      <c r="I31" s="8" t="s">
        <v>503</v>
      </c>
      <c r="J31" s="8" t="s">
        <v>7</v>
      </c>
      <c r="K31" s="8"/>
      <c r="L31" s="9" t="s">
        <v>60</v>
      </c>
      <c r="M31" s="9" t="s">
        <v>60</v>
      </c>
      <c r="N31" s="8"/>
      <c r="O31" s="10"/>
      <c r="P31" s="10"/>
      <c r="Q31" s="10"/>
    </row>
    <row r="32" customFormat="false" ht="23.85" hidden="false" customHeight="false" outlineLevel="0" collapsed="false">
      <c r="A32" s="8" t="s">
        <v>504</v>
      </c>
      <c r="B32" s="8" t="s">
        <v>18</v>
      </c>
      <c r="C32" s="8" t="s">
        <v>35</v>
      </c>
      <c r="D32" s="8" t="s">
        <v>77</v>
      </c>
      <c r="E32" s="8" t="s">
        <v>505</v>
      </c>
      <c r="F32" s="8" t="s">
        <v>506</v>
      </c>
      <c r="G32" s="8" t="s">
        <v>507</v>
      </c>
      <c r="H32" s="8"/>
      <c r="I32" s="8" t="s">
        <v>508</v>
      </c>
      <c r="J32" s="8" t="s">
        <v>7</v>
      </c>
      <c r="K32" s="8"/>
      <c r="L32" s="9" t="s">
        <v>60</v>
      </c>
      <c r="M32" s="9" t="s">
        <v>60</v>
      </c>
      <c r="N32" s="8"/>
      <c r="O32" s="10"/>
      <c r="P32" s="10"/>
      <c r="Q32" s="10"/>
    </row>
    <row r="33" customFormat="false" ht="23.85" hidden="false" customHeight="false" outlineLevel="0" collapsed="false">
      <c r="A33" s="8" t="s">
        <v>509</v>
      </c>
      <c r="B33" s="8" t="s">
        <v>18</v>
      </c>
      <c r="C33" s="8" t="s">
        <v>35</v>
      </c>
      <c r="D33" s="8" t="s">
        <v>54</v>
      </c>
      <c r="E33" s="8" t="s">
        <v>510</v>
      </c>
      <c r="F33" s="8" t="s">
        <v>511</v>
      </c>
      <c r="G33" s="8" t="s">
        <v>512</v>
      </c>
      <c r="H33" s="8" t="s">
        <v>513</v>
      </c>
      <c r="I33" s="8" t="s">
        <v>514</v>
      </c>
      <c r="J33" s="8" t="s">
        <v>8</v>
      </c>
      <c r="K33" s="8" t="s">
        <v>355</v>
      </c>
      <c r="L33" s="8"/>
      <c r="M33" s="8"/>
      <c r="N33" s="8"/>
      <c r="O33" s="10"/>
      <c r="P33" s="10"/>
      <c r="Q33" s="10"/>
    </row>
    <row r="34" customFormat="false" ht="35.05" hidden="false" customHeight="false" outlineLevel="0" collapsed="false">
      <c r="A34" s="8" t="s">
        <v>515</v>
      </c>
      <c r="B34" s="8" t="s">
        <v>18</v>
      </c>
      <c r="C34" s="8" t="s">
        <v>29</v>
      </c>
      <c r="D34" s="8" t="s">
        <v>54</v>
      </c>
      <c r="E34" s="8" t="s">
        <v>516</v>
      </c>
      <c r="F34" s="8" t="s">
        <v>511</v>
      </c>
      <c r="G34" s="8" t="s">
        <v>517</v>
      </c>
      <c r="H34" s="8"/>
      <c r="I34" s="8" t="s">
        <v>518</v>
      </c>
      <c r="J34" s="8" t="s">
        <v>8</v>
      </c>
      <c r="K34" s="8" t="s">
        <v>91</v>
      </c>
      <c r="L34" s="8"/>
      <c r="M34" s="8"/>
      <c r="N34" s="8"/>
      <c r="O34" s="10"/>
      <c r="P34" s="10"/>
      <c r="Q34" s="10"/>
    </row>
    <row r="35" customFormat="false" ht="35.05" hidden="false" customHeight="false" outlineLevel="0" collapsed="false">
      <c r="A35" s="8" t="s">
        <v>519</v>
      </c>
      <c r="B35" s="8" t="s">
        <v>18</v>
      </c>
      <c r="C35" s="8" t="s">
        <v>34</v>
      </c>
      <c r="D35" s="8" t="s">
        <v>54</v>
      </c>
      <c r="E35" s="8" t="s">
        <v>520</v>
      </c>
      <c r="F35" s="8" t="s">
        <v>521</v>
      </c>
      <c r="G35" s="8" t="s">
        <v>522</v>
      </c>
      <c r="H35" s="8"/>
      <c r="I35" s="8" t="s">
        <v>523</v>
      </c>
      <c r="J35" s="8" t="s">
        <v>8</v>
      </c>
      <c r="K35" s="8" t="s">
        <v>461</v>
      </c>
      <c r="L35" s="8"/>
      <c r="M35" s="8"/>
      <c r="N35" s="8"/>
      <c r="O35" s="10"/>
      <c r="P35" s="10"/>
      <c r="Q35" s="10"/>
    </row>
    <row r="36" customFormat="false" ht="35.05" hidden="false" customHeight="false" outlineLevel="0" collapsed="false">
      <c r="A36" s="8" t="s">
        <v>524</v>
      </c>
      <c r="B36" s="8" t="s">
        <v>18</v>
      </c>
      <c r="C36" s="8" t="s">
        <v>34</v>
      </c>
      <c r="D36" s="8" t="s">
        <v>54</v>
      </c>
      <c r="E36" s="8" t="s">
        <v>525</v>
      </c>
      <c r="F36" s="8" t="s">
        <v>521</v>
      </c>
      <c r="G36" s="8" t="s">
        <v>526</v>
      </c>
      <c r="H36" s="8"/>
      <c r="I36" s="8" t="s">
        <v>527</v>
      </c>
      <c r="J36" s="8" t="s">
        <v>8</v>
      </c>
      <c r="K36" s="8" t="s">
        <v>528</v>
      </c>
      <c r="L36" s="8"/>
      <c r="M36" s="8"/>
      <c r="N36" s="8"/>
      <c r="O36" s="10"/>
      <c r="P36" s="10"/>
      <c r="Q36" s="10"/>
    </row>
    <row r="37" customFormat="false" ht="35.05" hidden="false" customHeight="false" outlineLevel="0" collapsed="false">
      <c r="A37" s="8" t="s">
        <v>529</v>
      </c>
      <c r="B37" s="8" t="s">
        <v>18</v>
      </c>
      <c r="C37" s="8" t="s">
        <v>34</v>
      </c>
      <c r="D37" s="8" t="s">
        <v>77</v>
      </c>
      <c r="E37" s="8" t="s">
        <v>530</v>
      </c>
      <c r="F37" s="8" t="s">
        <v>521</v>
      </c>
      <c r="G37" s="8" t="s">
        <v>531</v>
      </c>
      <c r="H37" s="8"/>
      <c r="I37" s="8" t="s">
        <v>532</v>
      </c>
      <c r="J37" s="8" t="s">
        <v>8</v>
      </c>
      <c r="K37" s="8" t="s">
        <v>528</v>
      </c>
      <c r="L37" s="8"/>
      <c r="M37" s="8"/>
      <c r="N37" s="8"/>
      <c r="O37" s="10"/>
      <c r="P37" s="10"/>
      <c r="Q37" s="10"/>
    </row>
    <row r="38" customFormat="false" ht="35.05" hidden="false" customHeight="false" outlineLevel="0" collapsed="false">
      <c r="A38" s="8" t="s">
        <v>533</v>
      </c>
      <c r="B38" s="8" t="s">
        <v>18</v>
      </c>
      <c r="C38" s="8" t="s">
        <v>30</v>
      </c>
      <c r="D38" s="8" t="s">
        <v>54</v>
      </c>
      <c r="E38" s="8" t="s">
        <v>534</v>
      </c>
      <c r="F38" s="8" t="s">
        <v>535</v>
      </c>
      <c r="G38" s="8" t="s">
        <v>536</v>
      </c>
      <c r="H38" s="8"/>
      <c r="I38" s="8" t="s">
        <v>537</v>
      </c>
      <c r="J38" s="8" t="s">
        <v>8</v>
      </c>
      <c r="K38" s="8" t="s">
        <v>461</v>
      </c>
      <c r="L38" s="8"/>
      <c r="M38" s="8"/>
      <c r="N38" s="8"/>
      <c r="O38" s="10"/>
      <c r="P38" s="10"/>
      <c r="Q38" s="10"/>
    </row>
    <row r="39" customFormat="false" ht="23.85" hidden="false" customHeight="false" outlineLevel="0" collapsed="false">
      <c r="A39" s="8" t="s">
        <v>538</v>
      </c>
      <c r="B39" s="8" t="s">
        <v>18</v>
      </c>
      <c r="C39" s="8" t="s">
        <v>34</v>
      </c>
      <c r="D39" s="8" t="s">
        <v>77</v>
      </c>
      <c r="E39" s="8" t="s">
        <v>539</v>
      </c>
      <c r="F39" s="8" t="s">
        <v>540</v>
      </c>
      <c r="G39" s="8" t="s">
        <v>541</v>
      </c>
      <c r="H39" s="8"/>
      <c r="I39" s="8" t="s">
        <v>542</v>
      </c>
      <c r="J39" s="8" t="s">
        <v>8</v>
      </c>
      <c r="K39" s="8" t="s">
        <v>97</v>
      </c>
      <c r="L39" s="8"/>
      <c r="M39" s="8"/>
      <c r="N39" s="8"/>
      <c r="O39" s="10"/>
      <c r="P39" s="10"/>
      <c r="Q39" s="10"/>
    </row>
    <row r="40" customFormat="false" ht="23.85" hidden="false" customHeight="false" outlineLevel="0" collapsed="false">
      <c r="A40" s="8" t="s">
        <v>543</v>
      </c>
      <c r="B40" s="8" t="s">
        <v>18</v>
      </c>
      <c r="C40" s="8" t="s">
        <v>29</v>
      </c>
      <c r="D40" s="8" t="s">
        <v>77</v>
      </c>
      <c r="E40" s="8" t="s">
        <v>544</v>
      </c>
      <c r="F40" s="8" t="s">
        <v>540</v>
      </c>
      <c r="G40" s="8" t="s">
        <v>545</v>
      </c>
      <c r="H40" s="8"/>
      <c r="I40" s="8" t="s">
        <v>546</v>
      </c>
      <c r="J40" s="8" t="s">
        <v>8</v>
      </c>
      <c r="K40" s="8" t="s">
        <v>91</v>
      </c>
      <c r="L40" s="8"/>
      <c r="M40" s="8"/>
      <c r="N40" s="8"/>
      <c r="O40" s="10"/>
      <c r="P40" s="10"/>
      <c r="Q40" s="10"/>
    </row>
    <row r="41" customFormat="false" ht="35.05" hidden="false" customHeight="false" outlineLevel="0" collapsed="false">
      <c r="A41" s="8" t="s">
        <v>547</v>
      </c>
      <c r="B41" s="8" t="s">
        <v>18</v>
      </c>
      <c r="C41" s="8" t="s">
        <v>35</v>
      </c>
      <c r="D41" s="8" t="s">
        <v>77</v>
      </c>
      <c r="E41" s="8" t="s">
        <v>548</v>
      </c>
      <c r="F41" s="8" t="s">
        <v>549</v>
      </c>
      <c r="G41" s="8" t="s">
        <v>550</v>
      </c>
      <c r="H41" s="8"/>
      <c r="I41" s="8" t="s">
        <v>551</v>
      </c>
      <c r="J41" s="8" t="s">
        <v>8</v>
      </c>
      <c r="K41" s="8" t="s">
        <v>91</v>
      </c>
      <c r="L41" s="8"/>
      <c r="M41" s="8"/>
      <c r="N41" s="8"/>
      <c r="O41" s="10"/>
      <c r="P41" s="10"/>
      <c r="Q41" s="10"/>
    </row>
    <row r="42" customFormat="false" ht="23.85" hidden="false" customHeight="false" outlineLevel="0" collapsed="false">
      <c r="A42" s="8" t="s">
        <v>552</v>
      </c>
      <c r="B42" s="8" t="s">
        <v>18</v>
      </c>
      <c r="C42" s="8" t="s">
        <v>35</v>
      </c>
      <c r="D42" s="8" t="s">
        <v>77</v>
      </c>
      <c r="E42" s="8" t="s">
        <v>553</v>
      </c>
      <c r="F42" s="8" t="s">
        <v>554</v>
      </c>
      <c r="G42" s="8" t="s">
        <v>555</v>
      </c>
      <c r="H42" s="8"/>
      <c r="I42" s="8" t="s">
        <v>556</v>
      </c>
      <c r="J42" s="8" t="s">
        <v>8</v>
      </c>
      <c r="K42" s="8" t="s">
        <v>91</v>
      </c>
      <c r="L42" s="8"/>
      <c r="M42" s="8"/>
      <c r="N42" s="8"/>
      <c r="O42" s="10"/>
      <c r="P42" s="10"/>
      <c r="Q42" s="10"/>
    </row>
    <row r="43" customFormat="false" ht="35.05" hidden="false" customHeight="false" outlineLevel="0" collapsed="false">
      <c r="A43" s="8" t="s">
        <v>557</v>
      </c>
      <c r="B43" s="8" t="s">
        <v>18</v>
      </c>
      <c r="C43" s="8" t="s">
        <v>35</v>
      </c>
      <c r="D43" s="8" t="s">
        <v>77</v>
      </c>
      <c r="E43" s="8" t="s">
        <v>558</v>
      </c>
      <c r="F43" s="8" t="s">
        <v>506</v>
      </c>
      <c r="G43" s="8" t="s">
        <v>559</v>
      </c>
      <c r="H43" s="8"/>
      <c r="I43" s="8" t="s">
        <v>560</v>
      </c>
      <c r="J43" s="8" t="s">
        <v>8</v>
      </c>
      <c r="K43" s="8" t="s">
        <v>461</v>
      </c>
      <c r="L43" s="8"/>
      <c r="M43" s="8"/>
      <c r="N43" s="8"/>
      <c r="O43" s="10"/>
      <c r="P43" s="10"/>
      <c r="Q43" s="10"/>
    </row>
    <row r="44" customFormat="false" ht="23.85" hidden="false" customHeight="false" outlineLevel="0" collapsed="false">
      <c r="A44" s="8" t="s">
        <v>561</v>
      </c>
      <c r="B44" s="8" t="s">
        <v>18</v>
      </c>
      <c r="C44" s="8" t="s">
        <v>35</v>
      </c>
      <c r="D44" s="8" t="s">
        <v>109</v>
      </c>
      <c r="E44" s="8" t="s">
        <v>562</v>
      </c>
      <c r="F44" s="8" t="s">
        <v>563</v>
      </c>
      <c r="G44" s="8" t="s">
        <v>564</v>
      </c>
      <c r="H44" s="8"/>
      <c r="I44" s="8" t="s">
        <v>565</v>
      </c>
      <c r="J44" s="8" t="s">
        <v>8</v>
      </c>
      <c r="K44" s="8" t="s">
        <v>493</v>
      </c>
      <c r="L44" s="8"/>
      <c r="M44" s="8"/>
      <c r="N44" s="8"/>
      <c r="O44" s="10"/>
      <c r="P44" s="10"/>
      <c r="Q44" s="10"/>
    </row>
  </sheetData>
  <autoFilter ref="A1:Q44"/>
  <dataValidations count="1">
    <dataValidation allowBlank="true" errorStyle="stop" operator="between" showDropDown="false" showErrorMessage="false" showInputMessage="false" sqref="O2:O44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13"/>
    <col collapsed="false" customWidth="true" hidden="false" outlineLevel="0" max="7" min="7" style="0" width="50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12"/>
    <col collapsed="false" customWidth="true" hidden="false" outlineLevel="0" max="11" min="11" style="0" width="40"/>
    <col collapsed="false" customWidth="true" hidden="false" outlineLevel="0" max="13" min="12" style="0" width="13"/>
    <col collapsed="false" customWidth="true" hidden="false" outlineLevel="0" max="14" min="14" style="0" width="40"/>
    <col collapsed="false" customWidth="true" hidden="false" outlineLevel="0" max="15" min="15" style="0" width="13"/>
    <col collapsed="false" customWidth="true" hidden="false" outlineLevel="0" max="16" min="16" style="0" width="30"/>
    <col collapsed="false" customWidth="true" hidden="false" outlineLevel="0" max="17" min="17" style="0" width="12"/>
  </cols>
  <sheetData>
    <row r="1" customFormat="false" ht="23.85" hidden="false" customHeight="false" outlineLevel="0" collapsed="false">
      <c r="A1" s="3" t="s">
        <v>36</v>
      </c>
      <c r="B1" s="3" t="s">
        <v>37</v>
      </c>
      <c r="C1" s="3" t="s">
        <v>28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51</v>
      </c>
    </row>
    <row r="2" customFormat="false" ht="23.85" hidden="false" customHeight="false" outlineLevel="0" collapsed="false">
      <c r="A2" s="8" t="s">
        <v>566</v>
      </c>
      <c r="B2" s="8" t="s">
        <v>567</v>
      </c>
      <c r="C2" s="8" t="s">
        <v>31</v>
      </c>
      <c r="D2" s="8" t="s">
        <v>77</v>
      </c>
      <c r="E2" s="8" t="s">
        <v>568</v>
      </c>
      <c r="F2" s="8" t="s">
        <v>569</v>
      </c>
      <c r="G2" s="8" t="s">
        <v>570</v>
      </c>
      <c r="H2" s="8" t="s">
        <v>571</v>
      </c>
      <c r="I2" s="8" t="s">
        <v>572</v>
      </c>
      <c r="J2" s="8" t="s">
        <v>7</v>
      </c>
      <c r="K2" s="8"/>
      <c r="L2" s="9" t="s">
        <v>60</v>
      </c>
      <c r="M2" s="9" t="s">
        <v>60</v>
      </c>
      <c r="N2" s="8"/>
      <c r="O2" s="10"/>
      <c r="P2" s="10"/>
      <c r="Q2" s="10"/>
    </row>
    <row r="3" customFormat="false" ht="35.05" hidden="false" customHeight="false" outlineLevel="0" collapsed="false">
      <c r="A3" s="8" t="s">
        <v>573</v>
      </c>
      <c r="B3" s="8" t="s">
        <v>567</v>
      </c>
      <c r="C3" s="8" t="s">
        <v>31</v>
      </c>
      <c r="D3" s="8" t="s">
        <v>77</v>
      </c>
      <c r="E3" s="8" t="s">
        <v>574</v>
      </c>
      <c r="F3" s="8" t="s">
        <v>569</v>
      </c>
      <c r="G3" s="8" t="s">
        <v>575</v>
      </c>
      <c r="H3" s="8" t="s">
        <v>576</v>
      </c>
      <c r="I3" s="8" t="s">
        <v>577</v>
      </c>
      <c r="J3" s="8" t="s">
        <v>7</v>
      </c>
      <c r="K3" s="8"/>
      <c r="L3" s="9" t="s">
        <v>60</v>
      </c>
      <c r="M3" s="9" t="s">
        <v>60</v>
      </c>
      <c r="N3" s="8"/>
      <c r="O3" s="10"/>
      <c r="P3" s="10"/>
      <c r="Q3" s="10"/>
    </row>
    <row r="4" customFormat="false" ht="35.05" hidden="false" customHeight="false" outlineLevel="0" collapsed="false">
      <c r="A4" s="8" t="s">
        <v>578</v>
      </c>
      <c r="B4" s="8" t="s">
        <v>567</v>
      </c>
      <c r="C4" s="8" t="s">
        <v>31</v>
      </c>
      <c r="D4" s="8" t="s">
        <v>77</v>
      </c>
      <c r="E4" s="8" t="s">
        <v>579</v>
      </c>
      <c r="F4" s="8" t="s">
        <v>569</v>
      </c>
      <c r="G4" s="8" t="s">
        <v>580</v>
      </c>
      <c r="H4" s="8" t="s">
        <v>581</v>
      </c>
      <c r="I4" s="8" t="s">
        <v>582</v>
      </c>
      <c r="J4" s="8" t="s">
        <v>7</v>
      </c>
      <c r="K4" s="8"/>
      <c r="L4" s="9" t="s">
        <v>60</v>
      </c>
      <c r="M4" s="9" t="s">
        <v>60</v>
      </c>
      <c r="N4" s="8"/>
      <c r="O4" s="10"/>
      <c r="P4" s="10"/>
      <c r="Q4" s="10"/>
    </row>
    <row r="5" customFormat="false" ht="35.05" hidden="false" customHeight="false" outlineLevel="0" collapsed="false">
      <c r="A5" s="8" t="s">
        <v>583</v>
      </c>
      <c r="B5" s="8" t="s">
        <v>567</v>
      </c>
      <c r="C5" s="8" t="s">
        <v>31</v>
      </c>
      <c r="D5" s="8" t="s">
        <v>77</v>
      </c>
      <c r="E5" s="8" t="s">
        <v>584</v>
      </c>
      <c r="F5" s="8" t="s">
        <v>569</v>
      </c>
      <c r="G5" s="8" t="s">
        <v>585</v>
      </c>
      <c r="H5" s="8" t="s">
        <v>586</v>
      </c>
      <c r="I5" s="8" t="s">
        <v>587</v>
      </c>
      <c r="J5" s="8" t="s">
        <v>7</v>
      </c>
      <c r="K5" s="8"/>
      <c r="L5" s="9" t="s">
        <v>60</v>
      </c>
      <c r="M5" s="9" t="s">
        <v>60</v>
      </c>
      <c r="N5" s="8"/>
      <c r="O5" s="10"/>
      <c r="P5" s="10"/>
      <c r="Q5" s="10"/>
    </row>
    <row r="6" customFormat="false" ht="35.05" hidden="false" customHeight="false" outlineLevel="0" collapsed="false">
      <c r="A6" s="8" t="s">
        <v>588</v>
      </c>
      <c r="B6" s="8" t="s">
        <v>567</v>
      </c>
      <c r="C6" s="8" t="s">
        <v>31</v>
      </c>
      <c r="D6" s="8" t="s">
        <v>77</v>
      </c>
      <c r="E6" s="8" t="s">
        <v>589</v>
      </c>
      <c r="F6" s="8" t="s">
        <v>569</v>
      </c>
      <c r="G6" s="8" t="s">
        <v>590</v>
      </c>
      <c r="H6" s="8" t="s">
        <v>591</v>
      </c>
      <c r="I6" s="8" t="s">
        <v>592</v>
      </c>
      <c r="J6" s="8" t="s">
        <v>7</v>
      </c>
      <c r="K6" s="8"/>
      <c r="L6" s="9" t="s">
        <v>60</v>
      </c>
      <c r="M6" s="9" t="s">
        <v>60</v>
      </c>
      <c r="N6" s="8"/>
      <c r="O6" s="10"/>
      <c r="P6" s="10"/>
      <c r="Q6" s="10"/>
    </row>
    <row r="7" customFormat="false" ht="35.05" hidden="false" customHeight="false" outlineLevel="0" collapsed="false">
      <c r="A7" s="8" t="s">
        <v>593</v>
      </c>
      <c r="B7" s="8" t="s">
        <v>567</v>
      </c>
      <c r="C7" s="8" t="s">
        <v>29</v>
      </c>
      <c r="D7" s="8" t="s">
        <v>77</v>
      </c>
      <c r="E7" s="8" t="s">
        <v>594</v>
      </c>
      <c r="F7" s="8" t="s">
        <v>569</v>
      </c>
      <c r="G7" s="8" t="s">
        <v>595</v>
      </c>
      <c r="H7" s="8"/>
      <c r="I7" s="8" t="s">
        <v>596</v>
      </c>
      <c r="J7" s="8" t="s">
        <v>8</v>
      </c>
      <c r="K7" s="8" t="s">
        <v>528</v>
      </c>
      <c r="L7" s="8"/>
      <c r="M7" s="8"/>
      <c r="N7" s="8"/>
      <c r="O7" s="10"/>
      <c r="P7" s="10"/>
      <c r="Q7" s="10"/>
    </row>
    <row r="8" customFormat="false" ht="23.85" hidden="false" customHeight="false" outlineLevel="0" collapsed="false">
      <c r="A8" s="8" t="s">
        <v>597</v>
      </c>
      <c r="B8" s="8" t="s">
        <v>567</v>
      </c>
      <c r="C8" s="8" t="s">
        <v>31</v>
      </c>
      <c r="D8" s="8" t="s">
        <v>77</v>
      </c>
      <c r="E8" s="8" t="s">
        <v>598</v>
      </c>
      <c r="F8" s="8" t="s">
        <v>599</v>
      </c>
      <c r="G8" s="8" t="s">
        <v>600</v>
      </c>
      <c r="H8" s="8"/>
      <c r="I8" s="8" t="s">
        <v>601</v>
      </c>
      <c r="J8" s="8" t="s">
        <v>7</v>
      </c>
      <c r="K8" s="8"/>
      <c r="L8" s="9" t="s">
        <v>60</v>
      </c>
      <c r="M8" s="9" t="s">
        <v>60</v>
      </c>
      <c r="N8" s="8"/>
      <c r="O8" s="10"/>
      <c r="P8" s="10"/>
      <c r="Q8" s="10"/>
    </row>
    <row r="9" customFormat="false" ht="15" hidden="false" customHeight="false" outlineLevel="0" collapsed="false">
      <c r="A9" s="8" t="s">
        <v>602</v>
      </c>
      <c r="B9" s="8" t="s">
        <v>567</v>
      </c>
      <c r="C9" s="8" t="s">
        <v>31</v>
      </c>
      <c r="D9" s="8" t="s">
        <v>109</v>
      </c>
      <c r="E9" s="8" t="s">
        <v>603</v>
      </c>
      <c r="F9" s="8" t="s">
        <v>599</v>
      </c>
      <c r="G9" s="8" t="s">
        <v>604</v>
      </c>
      <c r="H9" s="8"/>
      <c r="I9" s="8" t="s">
        <v>605</v>
      </c>
      <c r="J9" s="8" t="s">
        <v>7</v>
      </c>
      <c r="K9" s="8"/>
      <c r="L9" s="9" t="s">
        <v>60</v>
      </c>
      <c r="M9" s="9" t="s">
        <v>60</v>
      </c>
      <c r="N9" s="8"/>
      <c r="O9" s="10"/>
      <c r="P9" s="10"/>
      <c r="Q9" s="10"/>
    </row>
    <row r="10" customFormat="false" ht="15" hidden="false" customHeight="false" outlineLevel="0" collapsed="false">
      <c r="A10" s="8" t="s">
        <v>606</v>
      </c>
      <c r="B10" s="8" t="s">
        <v>567</v>
      </c>
      <c r="C10" s="8" t="s">
        <v>31</v>
      </c>
      <c r="D10" s="8" t="s">
        <v>109</v>
      </c>
      <c r="E10" s="8" t="s">
        <v>607</v>
      </c>
      <c r="F10" s="8" t="s">
        <v>599</v>
      </c>
      <c r="G10" s="8" t="s">
        <v>608</v>
      </c>
      <c r="H10" s="8"/>
      <c r="I10" s="8" t="s">
        <v>609</v>
      </c>
      <c r="J10" s="8" t="s">
        <v>7</v>
      </c>
      <c r="K10" s="8"/>
      <c r="L10" s="9" t="s">
        <v>60</v>
      </c>
      <c r="M10" s="9" t="s">
        <v>60</v>
      </c>
      <c r="N10" s="8"/>
      <c r="O10" s="10"/>
      <c r="P10" s="10"/>
      <c r="Q10" s="10"/>
    </row>
    <row r="11" customFormat="false" ht="23.85" hidden="false" customHeight="false" outlineLevel="0" collapsed="false">
      <c r="A11" s="8" t="s">
        <v>610</v>
      </c>
      <c r="B11" s="8" t="s">
        <v>567</v>
      </c>
      <c r="C11" s="8" t="s">
        <v>35</v>
      </c>
      <c r="D11" s="8" t="s">
        <v>77</v>
      </c>
      <c r="E11" s="8" t="s">
        <v>611</v>
      </c>
      <c r="F11" s="8" t="s">
        <v>612</v>
      </c>
      <c r="G11" s="8" t="s">
        <v>613</v>
      </c>
      <c r="H11" s="8"/>
      <c r="I11" s="8" t="s">
        <v>614</v>
      </c>
      <c r="J11" s="8" t="s">
        <v>7</v>
      </c>
      <c r="K11" s="8"/>
      <c r="L11" s="9" t="s">
        <v>60</v>
      </c>
      <c r="M11" s="9" t="s">
        <v>60</v>
      </c>
      <c r="N11" s="8"/>
      <c r="O11" s="10"/>
      <c r="P11" s="10"/>
      <c r="Q11" s="10"/>
    </row>
    <row r="12" customFormat="false" ht="35.05" hidden="false" customHeight="false" outlineLevel="0" collapsed="false">
      <c r="A12" s="8" t="s">
        <v>615</v>
      </c>
      <c r="B12" s="8" t="s">
        <v>567</v>
      </c>
      <c r="C12" s="8" t="s">
        <v>29</v>
      </c>
      <c r="D12" s="8" t="s">
        <v>54</v>
      </c>
      <c r="E12" s="8" t="s">
        <v>616</v>
      </c>
      <c r="F12" s="8" t="s">
        <v>617</v>
      </c>
      <c r="G12" s="8" t="s">
        <v>618</v>
      </c>
      <c r="H12" s="8"/>
      <c r="I12" s="8" t="s">
        <v>619</v>
      </c>
      <c r="J12" s="8" t="s">
        <v>8</v>
      </c>
      <c r="K12" s="8" t="s">
        <v>461</v>
      </c>
      <c r="L12" s="8"/>
      <c r="M12" s="8"/>
      <c r="N12" s="8"/>
      <c r="O12" s="10"/>
      <c r="P12" s="10"/>
      <c r="Q12" s="10"/>
    </row>
    <row r="13" customFormat="false" ht="35.05" hidden="false" customHeight="false" outlineLevel="0" collapsed="false">
      <c r="A13" s="8" t="s">
        <v>620</v>
      </c>
      <c r="B13" s="8" t="s">
        <v>567</v>
      </c>
      <c r="C13" s="8" t="s">
        <v>31</v>
      </c>
      <c r="D13" s="8" t="s">
        <v>77</v>
      </c>
      <c r="E13" s="8" t="s">
        <v>621</v>
      </c>
      <c r="F13" s="8" t="s">
        <v>617</v>
      </c>
      <c r="G13" s="8" t="s">
        <v>622</v>
      </c>
      <c r="H13" s="8"/>
      <c r="I13" s="8" t="s">
        <v>623</v>
      </c>
      <c r="J13" s="8" t="s">
        <v>8</v>
      </c>
      <c r="K13" s="8" t="s">
        <v>461</v>
      </c>
      <c r="L13" s="8"/>
      <c r="M13" s="8"/>
      <c r="N13" s="8"/>
      <c r="O13" s="10"/>
      <c r="P13" s="10"/>
      <c r="Q13" s="10"/>
    </row>
    <row r="14" customFormat="false" ht="23.85" hidden="false" customHeight="false" outlineLevel="0" collapsed="false">
      <c r="A14" s="8" t="s">
        <v>624</v>
      </c>
      <c r="B14" s="8" t="s">
        <v>567</v>
      </c>
      <c r="C14" s="8" t="s">
        <v>35</v>
      </c>
      <c r="D14" s="8" t="s">
        <v>77</v>
      </c>
      <c r="E14" s="8" t="s">
        <v>625</v>
      </c>
      <c r="F14" s="8" t="s">
        <v>626</v>
      </c>
      <c r="G14" s="8" t="s">
        <v>627</v>
      </c>
      <c r="H14" s="8"/>
      <c r="I14" s="8" t="s">
        <v>628</v>
      </c>
      <c r="J14" s="8" t="s">
        <v>8</v>
      </c>
      <c r="K14" s="8" t="s">
        <v>493</v>
      </c>
      <c r="L14" s="8"/>
      <c r="M14" s="8"/>
      <c r="N14" s="8"/>
      <c r="O14" s="10"/>
      <c r="P14" s="10"/>
      <c r="Q14" s="10"/>
    </row>
    <row r="15" customFormat="false" ht="35.05" hidden="false" customHeight="false" outlineLevel="0" collapsed="false">
      <c r="A15" s="8" t="s">
        <v>629</v>
      </c>
      <c r="B15" s="8" t="s">
        <v>567</v>
      </c>
      <c r="C15" s="8" t="s">
        <v>30</v>
      </c>
      <c r="D15" s="8" t="s">
        <v>54</v>
      </c>
      <c r="E15" s="8" t="s">
        <v>630</v>
      </c>
      <c r="F15" s="8" t="s">
        <v>631</v>
      </c>
      <c r="G15" s="8" t="s">
        <v>632</v>
      </c>
      <c r="H15" s="8"/>
      <c r="I15" s="8" t="s">
        <v>633</v>
      </c>
      <c r="J15" s="8" t="s">
        <v>8</v>
      </c>
      <c r="K15" s="8" t="s">
        <v>97</v>
      </c>
      <c r="L15" s="8"/>
      <c r="M15" s="8"/>
      <c r="N15" s="8"/>
      <c r="O15" s="10"/>
      <c r="P15" s="10"/>
      <c r="Q15" s="10"/>
    </row>
    <row r="16" customFormat="false" ht="23.85" hidden="false" customHeight="false" outlineLevel="0" collapsed="false">
      <c r="A16" s="8" t="s">
        <v>634</v>
      </c>
      <c r="B16" s="8" t="s">
        <v>567</v>
      </c>
      <c r="C16" s="8" t="s">
        <v>32</v>
      </c>
      <c r="D16" s="8" t="s">
        <v>54</v>
      </c>
      <c r="E16" s="8" t="s">
        <v>635</v>
      </c>
      <c r="F16" s="8" t="s">
        <v>636</v>
      </c>
      <c r="G16" s="8" t="s">
        <v>637</v>
      </c>
      <c r="H16" s="8"/>
      <c r="I16" s="8" t="s">
        <v>638</v>
      </c>
      <c r="J16" s="8" t="s">
        <v>8</v>
      </c>
      <c r="K16" s="8" t="s">
        <v>493</v>
      </c>
      <c r="L16" s="8"/>
      <c r="M16" s="8"/>
      <c r="N16" s="8"/>
      <c r="O16" s="10"/>
      <c r="P16" s="10"/>
      <c r="Q16" s="10"/>
    </row>
    <row r="17" customFormat="false" ht="23.85" hidden="false" customHeight="false" outlineLevel="0" collapsed="false">
      <c r="A17" s="8" t="s">
        <v>639</v>
      </c>
      <c r="B17" s="8" t="s">
        <v>567</v>
      </c>
      <c r="C17" s="8" t="s">
        <v>33</v>
      </c>
      <c r="D17" s="8" t="s">
        <v>77</v>
      </c>
      <c r="E17" s="8" t="s">
        <v>640</v>
      </c>
      <c r="F17" s="8" t="s">
        <v>351</v>
      </c>
      <c r="G17" s="8" t="s">
        <v>641</v>
      </c>
      <c r="H17" s="8"/>
      <c r="I17" s="8" t="s">
        <v>642</v>
      </c>
      <c r="J17" s="8" t="s">
        <v>8</v>
      </c>
      <c r="K17" s="8" t="s">
        <v>355</v>
      </c>
      <c r="L17" s="8"/>
      <c r="M17" s="8"/>
      <c r="N17" s="8"/>
      <c r="O17" s="10"/>
      <c r="P17" s="10"/>
      <c r="Q17" s="10"/>
    </row>
    <row r="18" customFormat="false" ht="35.05" hidden="false" customHeight="false" outlineLevel="0" collapsed="false">
      <c r="A18" s="8" t="s">
        <v>643</v>
      </c>
      <c r="B18" s="8" t="s">
        <v>644</v>
      </c>
      <c r="C18" s="8" t="s">
        <v>29</v>
      </c>
      <c r="D18" s="8" t="s">
        <v>54</v>
      </c>
      <c r="E18" s="8" t="s">
        <v>645</v>
      </c>
      <c r="F18" s="8" t="s">
        <v>646</v>
      </c>
      <c r="G18" s="8" t="s">
        <v>647</v>
      </c>
      <c r="H18" s="8" t="s">
        <v>648</v>
      </c>
      <c r="I18" s="8" t="s">
        <v>649</v>
      </c>
      <c r="J18" s="8" t="s">
        <v>7</v>
      </c>
      <c r="K18" s="8"/>
      <c r="L18" s="9" t="s">
        <v>60</v>
      </c>
      <c r="M18" s="9" t="s">
        <v>60</v>
      </c>
      <c r="N18" s="8"/>
      <c r="O18" s="10"/>
      <c r="P18" s="10"/>
      <c r="Q18" s="10"/>
    </row>
    <row r="19" customFormat="false" ht="35.05" hidden="false" customHeight="false" outlineLevel="0" collapsed="false">
      <c r="A19" s="8" t="s">
        <v>650</v>
      </c>
      <c r="B19" s="8" t="s">
        <v>644</v>
      </c>
      <c r="C19" s="8" t="s">
        <v>31</v>
      </c>
      <c r="D19" s="8" t="s">
        <v>54</v>
      </c>
      <c r="E19" s="8" t="s">
        <v>651</v>
      </c>
      <c r="F19" s="8" t="s">
        <v>646</v>
      </c>
      <c r="G19" s="8" t="s">
        <v>652</v>
      </c>
      <c r="H19" s="8" t="s">
        <v>648</v>
      </c>
      <c r="I19" s="8" t="s">
        <v>653</v>
      </c>
      <c r="J19" s="8" t="s">
        <v>7</v>
      </c>
      <c r="K19" s="8"/>
      <c r="L19" s="9" t="s">
        <v>60</v>
      </c>
      <c r="M19" s="9" t="s">
        <v>60</v>
      </c>
      <c r="N19" s="8"/>
      <c r="O19" s="10"/>
      <c r="P19" s="10"/>
      <c r="Q19" s="10"/>
    </row>
    <row r="20" customFormat="false" ht="35.05" hidden="false" customHeight="false" outlineLevel="0" collapsed="false">
      <c r="A20" s="8" t="s">
        <v>654</v>
      </c>
      <c r="B20" s="8" t="s">
        <v>644</v>
      </c>
      <c r="C20" s="8" t="s">
        <v>29</v>
      </c>
      <c r="D20" s="8" t="s">
        <v>54</v>
      </c>
      <c r="E20" s="8" t="s">
        <v>655</v>
      </c>
      <c r="F20" s="8" t="s">
        <v>646</v>
      </c>
      <c r="G20" s="8" t="s">
        <v>656</v>
      </c>
      <c r="H20" s="8" t="s">
        <v>648</v>
      </c>
      <c r="I20" s="8" t="s">
        <v>657</v>
      </c>
      <c r="J20" s="8" t="s">
        <v>7</v>
      </c>
      <c r="K20" s="8"/>
      <c r="L20" s="9" t="s">
        <v>60</v>
      </c>
      <c r="M20" s="9" t="s">
        <v>60</v>
      </c>
      <c r="N20" s="8"/>
      <c r="O20" s="10"/>
      <c r="P20" s="10"/>
      <c r="Q20" s="10"/>
    </row>
    <row r="21" customFormat="false" ht="23.85" hidden="false" customHeight="false" outlineLevel="0" collapsed="false">
      <c r="A21" s="8" t="s">
        <v>658</v>
      </c>
      <c r="B21" s="8" t="s">
        <v>644</v>
      </c>
      <c r="C21" s="8" t="s">
        <v>29</v>
      </c>
      <c r="D21" s="8" t="s">
        <v>54</v>
      </c>
      <c r="E21" s="8" t="s">
        <v>659</v>
      </c>
      <c r="F21" s="8" t="s">
        <v>646</v>
      </c>
      <c r="G21" s="8" t="s">
        <v>660</v>
      </c>
      <c r="H21" s="8"/>
      <c r="I21" s="8" t="s">
        <v>661</v>
      </c>
      <c r="J21" s="8" t="s">
        <v>7</v>
      </c>
      <c r="K21" s="8"/>
      <c r="L21" s="9" t="s">
        <v>60</v>
      </c>
      <c r="M21" s="9" t="s">
        <v>60</v>
      </c>
      <c r="N21" s="8"/>
      <c r="O21" s="10"/>
      <c r="P21" s="10"/>
      <c r="Q21" s="10"/>
    </row>
    <row r="22" customFormat="false" ht="35.05" hidden="false" customHeight="false" outlineLevel="0" collapsed="false">
      <c r="A22" s="8" t="s">
        <v>662</v>
      </c>
      <c r="B22" s="8" t="s">
        <v>644</v>
      </c>
      <c r="C22" s="8" t="s">
        <v>29</v>
      </c>
      <c r="D22" s="8" t="s">
        <v>54</v>
      </c>
      <c r="E22" s="8" t="s">
        <v>663</v>
      </c>
      <c r="F22" s="8" t="s">
        <v>646</v>
      </c>
      <c r="G22" s="8" t="s">
        <v>664</v>
      </c>
      <c r="H22" s="8"/>
      <c r="I22" s="8" t="s">
        <v>665</v>
      </c>
      <c r="J22" s="8" t="s">
        <v>7</v>
      </c>
      <c r="K22" s="8"/>
      <c r="L22" s="9" t="s">
        <v>60</v>
      </c>
      <c r="M22" s="9" t="s">
        <v>60</v>
      </c>
      <c r="N22" s="8"/>
      <c r="O22" s="10"/>
      <c r="P22" s="10"/>
      <c r="Q22" s="10"/>
    </row>
    <row r="23" customFormat="false" ht="35.05" hidden="false" customHeight="false" outlineLevel="0" collapsed="false">
      <c r="A23" s="8" t="s">
        <v>666</v>
      </c>
      <c r="B23" s="8" t="s">
        <v>644</v>
      </c>
      <c r="C23" s="8" t="s">
        <v>31</v>
      </c>
      <c r="D23" s="8" t="s">
        <v>54</v>
      </c>
      <c r="E23" s="8" t="s">
        <v>667</v>
      </c>
      <c r="F23" s="8" t="s">
        <v>646</v>
      </c>
      <c r="G23" s="8" t="s">
        <v>668</v>
      </c>
      <c r="H23" s="8"/>
      <c r="I23" s="8" t="s">
        <v>669</v>
      </c>
      <c r="J23" s="8" t="s">
        <v>7</v>
      </c>
      <c r="K23" s="8"/>
      <c r="L23" s="9" t="s">
        <v>60</v>
      </c>
      <c r="M23" s="9" t="s">
        <v>60</v>
      </c>
      <c r="N23" s="8"/>
      <c r="O23" s="10"/>
      <c r="P23" s="10"/>
      <c r="Q23" s="10"/>
    </row>
    <row r="24" customFormat="false" ht="46.25" hidden="false" customHeight="false" outlineLevel="0" collapsed="false">
      <c r="A24" s="8" t="s">
        <v>670</v>
      </c>
      <c r="B24" s="8" t="s">
        <v>644</v>
      </c>
      <c r="C24" s="8" t="s">
        <v>29</v>
      </c>
      <c r="D24" s="8" t="s">
        <v>109</v>
      </c>
      <c r="E24" s="8" t="s">
        <v>671</v>
      </c>
      <c r="F24" s="8" t="s">
        <v>646</v>
      </c>
      <c r="G24" s="8" t="s">
        <v>672</v>
      </c>
      <c r="H24" s="8"/>
      <c r="I24" s="8" t="s">
        <v>673</v>
      </c>
      <c r="J24" s="8" t="s">
        <v>7</v>
      </c>
      <c r="K24" s="8"/>
      <c r="L24" s="11" t="s">
        <v>674</v>
      </c>
      <c r="M24" s="11" t="s">
        <v>674</v>
      </c>
      <c r="N24" s="8" t="s">
        <v>675</v>
      </c>
      <c r="O24" s="10"/>
      <c r="P24" s="10"/>
      <c r="Q24" s="10"/>
    </row>
    <row r="25" customFormat="false" ht="35.05" hidden="false" customHeight="false" outlineLevel="0" collapsed="false">
      <c r="A25" s="8" t="s">
        <v>676</v>
      </c>
      <c r="B25" s="8" t="s">
        <v>644</v>
      </c>
      <c r="C25" s="8" t="s">
        <v>29</v>
      </c>
      <c r="D25" s="8" t="s">
        <v>54</v>
      </c>
      <c r="E25" s="8" t="s">
        <v>677</v>
      </c>
      <c r="F25" s="8" t="s">
        <v>678</v>
      </c>
      <c r="G25" s="8" t="s">
        <v>679</v>
      </c>
      <c r="H25" s="8"/>
      <c r="I25" s="8" t="s">
        <v>680</v>
      </c>
      <c r="J25" s="8" t="s">
        <v>8</v>
      </c>
      <c r="K25" s="8" t="s">
        <v>528</v>
      </c>
      <c r="L25" s="8"/>
      <c r="M25" s="8"/>
      <c r="N25" s="8"/>
      <c r="O25" s="10"/>
      <c r="P25" s="10"/>
      <c r="Q25" s="10"/>
    </row>
    <row r="26" customFormat="false" ht="23.85" hidden="false" customHeight="false" outlineLevel="0" collapsed="false">
      <c r="A26" s="8" t="s">
        <v>681</v>
      </c>
      <c r="B26" s="8" t="s">
        <v>644</v>
      </c>
      <c r="C26" s="8" t="s">
        <v>30</v>
      </c>
      <c r="D26" s="8" t="s">
        <v>54</v>
      </c>
      <c r="E26" s="8" t="s">
        <v>682</v>
      </c>
      <c r="F26" s="8" t="s">
        <v>683</v>
      </c>
      <c r="G26" s="8" t="s">
        <v>684</v>
      </c>
      <c r="H26" s="8"/>
      <c r="I26" s="8" t="s">
        <v>685</v>
      </c>
      <c r="J26" s="8" t="s">
        <v>8</v>
      </c>
      <c r="K26" s="8" t="s">
        <v>97</v>
      </c>
      <c r="L26" s="8"/>
      <c r="M26" s="8"/>
      <c r="N26" s="8"/>
      <c r="O26" s="10"/>
      <c r="P26" s="10"/>
      <c r="Q26" s="10"/>
    </row>
    <row r="27" customFormat="false" ht="35.05" hidden="false" customHeight="false" outlineLevel="0" collapsed="false">
      <c r="A27" s="8" t="s">
        <v>686</v>
      </c>
      <c r="B27" s="8" t="s">
        <v>644</v>
      </c>
      <c r="C27" s="8" t="s">
        <v>30</v>
      </c>
      <c r="D27" s="8" t="s">
        <v>77</v>
      </c>
      <c r="E27" s="8" t="s">
        <v>687</v>
      </c>
      <c r="F27" s="8" t="s">
        <v>688</v>
      </c>
      <c r="G27" s="8" t="s">
        <v>689</v>
      </c>
      <c r="H27" s="8"/>
      <c r="I27" s="8" t="s">
        <v>690</v>
      </c>
      <c r="J27" s="8" t="s">
        <v>8</v>
      </c>
      <c r="K27" s="8" t="s">
        <v>691</v>
      </c>
      <c r="L27" s="8"/>
      <c r="M27" s="8"/>
      <c r="N27" s="8"/>
      <c r="O27" s="10"/>
      <c r="P27" s="10"/>
      <c r="Q27" s="10"/>
    </row>
    <row r="28" customFormat="false" ht="35.05" hidden="false" customHeight="false" outlineLevel="0" collapsed="false">
      <c r="A28" s="8" t="s">
        <v>692</v>
      </c>
      <c r="B28" s="8" t="s">
        <v>644</v>
      </c>
      <c r="C28" s="8" t="s">
        <v>29</v>
      </c>
      <c r="D28" s="8" t="s">
        <v>77</v>
      </c>
      <c r="E28" s="8" t="s">
        <v>693</v>
      </c>
      <c r="F28" s="8" t="s">
        <v>694</v>
      </c>
      <c r="G28" s="8" t="s">
        <v>695</v>
      </c>
      <c r="H28" s="8"/>
      <c r="I28" s="8" t="s">
        <v>696</v>
      </c>
      <c r="J28" s="8" t="s">
        <v>8</v>
      </c>
      <c r="K28" s="8" t="s">
        <v>461</v>
      </c>
      <c r="L28" s="8"/>
      <c r="M28" s="8"/>
      <c r="N28" s="8"/>
      <c r="O28" s="10"/>
      <c r="P28" s="10"/>
      <c r="Q28" s="10"/>
    </row>
    <row r="29" customFormat="false" ht="23.85" hidden="false" customHeight="false" outlineLevel="0" collapsed="false">
      <c r="A29" s="8" t="s">
        <v>697</v>
      </c>
      <c r="B29" s="8" t="s">
        <v>644</v>
      </c>
      <c r="C29" s="8" t="s">
        <v>34</v>
      </c>
      <c r="D29" s="8" t="s">
        <v>54</v>
      </c>
      <c r="E29" s="8" t="s">
        <v>698</v>
      </c>
      <c r="F29" s="8" t="s">
        <v>699</v>
      </c>
      <c r="G29" s="8" t="s">
        <v>700</v>
      </c>
      <c r="H29" s="8" t="s">
        <v>701</v>
      </c>
      <c r="I29" s="8" t="s">
        <v>702</v>
      </c>
      <c r="J29" s="8" t="s">
        <v>7</v>
      </c>
      <c r="K29" s="8"/>
      <c r="L29" s="9" t="s">
        <v>60</v>
      </c>
      <c r="M29" s="9" t="s">
        <v>60</v>
      </c>
      <c r="N29" s="8"/>
      <c r="O29" s="10"/>
      <c r="P29" s="10"/>
      <c r="Q29" s="10"/>
    </row>
    <row r="30" customFormat="false" ht="23.85" hidden="false" customHeight="false" outlineLevel="0" collapsed="false">
      <c r="A30" s="8" t="s">
        <v>703</v>
      </c>
      <c r="B30" s="8" t="s">
        <v>644</v>
      </c>
      <c r="C30" s="8" t="s">
        <v>34</v>
      </c>
      <c r="D30" s="8" t="s">
        <v>54</v>
      </c>
      <c r="E30" s="8" t="s">
        <v>704</v>
      </c>
      <c r="F30" s="8" t="s">
        <v>705</v>
      </c>
      <c r="G30" s="8" t="s">
        <v>706</v>
      </c>
      <c r="H30" s="8"/>
      <c r="I30" s="8" t="s">
        <v>707</v>
      </c>
      <c r="J30" s="8" t="s">
        <v>7</v>
      </c>
      <c r="K30" s="8"/>
      <c r="L30" s="9" t="s">
        <v>60</v>
      </c>
      <c r="M30" s="9" t="s">
        <v>60</v>
      </c>
      <c r="N30" s="8"/>
      <c r="O30" s="10"/>
      <c r="P30" s="10"/>
      <c r="Q30" s="10"/>
    </row>
    <row r="31" customFormat="false" ht="23.85" hidden="false" customHeight="false" outlineLevel="0" collapsed="false">
      <c r="A31" s="8" t="s">
        <v>708</v>
      </c>
      <c r="B31" s="8" t="s">
        <v>644</v>
      </c>
      <c r="C31" s="8" t="s">
        <v>34</v>
      </c>
      <c r="D31" s="8" t="s">
        <v>77</v>
      </c>
      <c r="E31" s="8" t="s">
        <v>709</v>
      </c>
      <c r="F31" s="8" t="s">
        <v>710</v>
      </c>
      <c r="G31" s="8" t="s">
        <v>711</v>
      </c>
      <c r="H31" s="8"/>
      <c r="I31" s="8" t="s">
        <v>712</v>
      </c>
      <c r="J31" s="8" t="s">
        <v>7</v>
      </c>
      <c r="K31" s="8"/>
      <c r="L31" s="9" t="s">
        <v>60</v>
      </c>
      <c r="M31" s="9" t="s">
        <v>60</v>
      </c>
      <c r="N31" s="8"/>
      <c r="O31" s="10"/>
      <c r="P31" s="10"/>
      <c r="Q31" s="10"/>
    </row>
    <row r="32" customFormat="false" ht="23.85" hidden="false" customHeight="false" outlineLevel="0" collapsed="false">
      <c r="A32" s="8" t="s">
        <v>713</v>
      </c>
      <c r="B32" s="8" t="s">
        <v>644</v>
      </c>
      <c r="C32" s="8" t="s">
        <v>31</v>
      </c>
      <c r="D32" s="8" t="s">
        <v>54</v>
      </c>
      <c r="E32" s="8" t="s">
        <v>714</v>
      </c>
      <c r="F32" s="8" t="s">
        <v>715</v>
      </c>
      <c r="G32" s="8" t="s">
        <v>716</v>
      </c>
      <c r="H32" s="8"/>
      <c r="I32" s="8" t="s">
        <v>717</v>
      </c>
      <c r="J32" s="8" t="s">
        <v>7</v>
      </c>
      <c r="K32" s="8"/>
      <c r="L32" s="9" t="s">
        <v>60</v>
      </c>
      <c r="M32" s="9" t="s">
        <v>60</v>
      </c>
      <c r="N32" s="8"/>
      <c r="O32" s="10"/>
      <c r="P32" s="10"/>
      <c r="Q32" s="10"/>
    </row>
    <row r="33" customFormat="false" ht="23.85" hidden="false" customHeight="false" outlineLevel="0" collapsed="false">
      <c r="A33" s="8" t="s">
        <v>718</v>
      </c>
      <c r="B33" s="8" t="s">
        <v>644</v>
      </c>
      <c r="C33" s="8" t="s">
        <v>35</v>
      </c>
      <c r="D33" s="8" t="s">
        <v>109</v>
      </c>
      <c r="E33" s="8" t="s">
        <v>719</v>
      </c>
      <c r="F33" s="8" t="s">
        <v>720</v>
      </c>
      <c r="G33" s="8" t="s">
        <v>721</v>
      </c>
      <c r="H33" s="8"/>
      <c r="I33" s="8" t="s">
        <v>722</v>
      </c>
      <c r="J33" s="8" t="s">
        <v>7</v>
      </c>
      <c r="K33" s="8"/>
      <c r="L33" s="9" t="s">
        <v>60</v>
      </c>
      <c r="M33" s="9" t="s">
        <v>60</v>
      </c>
      <c r="N33" s="8"/>
      <c r="O33" s="10"/>
      <c r="P33" s="10"/>
      <c r="Q33" s="10"/>
    </row>
    <row r="34" customFormat="false" ht="23.85" hidden="false" customHeight="false" outlineLevel="0" collapsed="false">
      <c r="A34" s="8" t="s">
        <v>723</v>
      </c>
      <c r="B34" s="8" t="s">
        <v>644</v>
      </c>
      <c r="C34" s="8" t="s">
        <v>33</v>
      </c>
      <c r="D34" s="8" t="s">
        <v>54</v>
      </c>
      <c r="E34" s="8" t="s">
        <v>724</v>
      </c>
      <c r="F34" s="8" t="s">
        <v>72</v>
      </c>
      <c r="G34" s="8" t="s">
        <v>725</v>
      </c>
      <c r="H34" s="8"/>
      <c r="I34" s="8" t="s">
        <v>726</v>
      </c>
      <c r="J34" s="8" t="s">
        <v>7</v>
      </c>
      <c r="K34" s="8"/>
      <c r="L34" s="9" t="s">
        <v>60</v>
      </c>
      <c r="M34" s="9" t="s">
        <v>60</v>
      </c>
      <c r="N34" s="8"/>
      <c r="O34" s="10"/>
      <c r="P34" s="10"/>
      <c r="Q34" s="10"/>
    </row>
    <row r="35" customFormat="false" ht="23.85" hidden="false" customHeight="false" outlineLevel="0" collapsed="false">
      <c r="A35" s="8" t="s">
        <v>727</v>
      </c>
      <c r="B35" s="8" t="s">
        <v>644</v>
      </c>
      <c r="C35" s="8" t="s">
        <v>33</v>
      </c>
      <c r="D35" s="8" t="s">
        <v>54</v>
      </c>
      <c r="E35" s="8" t="s">
        <v>728</v>
      </c>
      <c r="F35" s="8" t="s">
        <v>72</v>
      </c>
      <c r="G35" s="8" t="s">
        <v>729</v>
      </c>
      <c r="H35" s="8"/>
      <c r="I35" s="8" t="s">
        <v>730</v>
      </c>
      <c r="J35" s="8" t="s">
        <v>7</v>
      </c>
      <c r="K35" s="8"/>
      <c r="L35" s="9" t="s">
        <v>60</v>
      </c>
      <c r="M35" s="9" t="s">
        <v>60</v>
      </c>
      <c r="N35" s="8"/>
      <c r="O35" s="10"/>
      <c r="P35" s="10"/>
      <c r="Q35" s="10"/>
    </row>
    <row r="36" customFormat="false" ht="46.25" hidden="false" customHeight="false" outlineLevel="0" collapsed="false">
      <c r="A36" s="8" t="s">
        <v>731</v>
      </c>
      <c r="B36" s="8" t="s">
        <v>644</v>
      </c>
      <c r="C36" s="8" t="s">
        <v>34</v>
      </c>
      <c r="D36" s="8" t="s">
        <v>54</v>
      </c>
      <c r="E36" s="8" t="s">
        <v>732</v>
      </c>
      <c r="F36" s="8" t="s">
        <v>710</v>
      </c>
      <c r="G36" s="8" t="s">
        <v>733</v>
      </c>
      <c r="H36" s="8"/>
      <c r="I36" s="8" t="s">
        <v>734</v>
      </c>
      <c r="J36" s="8" t="s">
        <v>8</v>
      </c>
      <c r="K36" s="8" t="s">
        <v>97</v>
      </c>
      <c r="L36" s="8"/>
      <c r="M36" s="8"/>
      <c r="N36" s="8"/>
      <c r="O36" s="10"/>
      <c r="P36" s="10"/>
      <c r="Q36" s="10"/>
    </row>
    <row r="37" customFormat="false" ht="23.85" hidden="false" customHeight="false" outlineLevel="0" collapsed="false">
      <c r="A37" s="8" t="s">
        <v>735</v>
      </c>
      <c r="B37" s="8" t="s">
        <v>644</v>
      </c>
      <c r="C37" s="8" t="s">
        <v>34</v>
      </c>
      <c r="D37" s="8" t="s">
        <v>77</v>
      </c>
      <c r="E37" s="8" t="s">
        <v>736</v>
      </c>
      <c r="F37" s="8" t="s">
        <v>710</v>
      </c>
      <c r="G37" s="8" t="s">
        <v>737</v>
      </c>
      <c r="H37" s="8"/>
      <c r="I37" s="8" t="s">
        <v>738</v>
      </c>
      <c r="J37" s="8" t="s">
        <v>8</v>
      </c>
      <c r="K37" s="8" t="s">
        <v>97</v>
      </c>
      <c r="L37" s="8"/>
      <c r="M37" s="8"/>
      <c r="N37" s="8"/>
      <c r="O37" s="10"/>
      <c r="P37" s="10"/>
      <c r="Q37" s="10"/>
    </row>
    <row r="38" customFormat="false" ht="35.05" hidden="false" customHeight="false" outlineLevel="0" collapsed="false">
      <c r="A38" s="8" t="s">
        <v>739</v>
      </c>
      <c r="B38" s="8" t="s">
        <v>644</v>
      </c>
      <c r="C38" s="8" t="s">
        <v>30</v>
      </c>
      <c r="D38" s="8" t="s">
        <v>77</v>
      </c>
      <c r="E38" s="8" t="s">
        <v>740</v>
      </c>
      <c r="F38" s="8" t="s">
        <v>710</v>
      </c>
      <c r="G38" s="8" t="s">
        <v>741</v>
      </c>
      <c r="H38" s="8"/>
      <c r="I38" s="8" t="s">
        <v>742</v>
      </c>
      <c r="J38" s="8" t="s">
        <v>8</v>
      </c>
      <c r="K38" s="8" t="s">
        <v>461</v>
      </c>
      <c r="L38" s="8"/>
      <c r="M38" s="8"/>
      <c r="N38" s="8"/>
      <c r="O38" s="10"/>
      <c r="P38" s="10"/>
      <c r="Q38" s="10"/>
    </row>
    <row r="39" customFormat="false" ht="35.05" hidden="false" customHeight="false" outlineLevel="0" collapsed="false">
      <c r="A39" s="8" t="s">
        <v>743</v>
      </c>
      <c r="B39" s="8" t="s">
        <v>644</v>
      </c>
      <c r="C39" s="8" t="s">
        <v>30</v>
      </c>
      <c r="D39" s="8" t="s">
        <v>54</v>
      </c>
      <c r="E39" s="8" t="s">
        <v>744</v>
      </c>
      <c r="F39" s="8" t="s">
        <v>745</v>
      </c>
      <c r="G39" s="8" t="s">
        <v>746</v>
      </c>
      <c r="H39" s="8"/>
      <c r="I39" s="8" t="s">
        <v>747</v>
      </c>
      <c r="J39" s="8" t="s">
        <v>8</v>
      </c>
      <c r="K39" s="8" t="s">
        <v>461</v>
      </c>
      <c r="L39" s="8"/>
      <c r="M39" s="8"/>
      <c r="N39" s="8"/>
      <c r="O39" s="10"/>
      <c r="P39" s="10"/>
      <c r="Q39" s="10"/>
    </row>
    <row r="40" customFormat="false" ht="46.25" hidden="false" customHeight="false" outlineLevel="0" collapsed="false">
      <c r="A40" s="8" t="s">
        <v>748</v>
      </c>
      <c r="B40" s="8" t="s">
        <v>644</v>
      </c>
      <c r="C40" s="8" t="s">
        <v>34</v>
      </c>
      <c r="D40" s="8" t="s">
        <v>54</v>
      </c>
      <c r="E40" s="8" t="s">
        <v>749</v>
      </c>
      <c r="F40" s="8" t="s">
        <v>750</v>
      </c>
      <c r="G40" s="8" t="s">
        <v>751</v>
      </c>
      <c r="H40" s="8"/>
      <c r="I40" s="8" t="s">
        <v>752</v>
      </c>
      <c r="J40" s="8" t="s">
        <v>8</v>
      </c>
      <c r="K40" s="8" t="s">
        <v>91</v>
      </c>
      <c r="L40" s="8"/>
      <c r="M40" s="8"/>
      <c r="N40" s="8"/>
      <c r="O40" s="10"/>
      <c r="P40" s="10"/>
      <c r="Q40" s="10"/>
    </row>
    <row r="41" customFormat="false" ht="23.85" hidden="false" customHeight="false" outlineLevel="0" collapsed="false">
      <c r="A41" s="8" t="s">
        <v>753</v>
      </c>
      <c r="B41" s="8" t="s">
        <v>644</v>
      </c>
      <c r="C41" s="8" t="s">
        <v>29</v>
      </c>
      <c r="D41" s="8" t="s">
        <v>77</v>
      </c>
      <c r="E41" s="8" t="s">
        <v>754</v>
      </c>
      <c r="F41" s="8" t="s">
        <v>755</v>
      </c>
      <c r="G41" s="8" t="s">
        <v>756</v>
      </c>
      <c r="H41" s="8"/>
      <c r="I41" s="8" t="s">
        <v>757</v>
      </c>
      <c r="J41" s="8" t="s">
        <v>8</v>
      </c>
      <c r="K41" s="8" t="s">
        <v>91</v>
      </c>
      <c r="L41" s="8"/>
      <c r="M41" s="8"/>
      <c r="N41" s="8"/>
      <c r="O41" s="10"/>
      <c r="P41" s="10"/>
      <c r="Q41" s="10"/>
    </row>
    <row r="42" customFormat="false" ht="23.85" hidden="false" customHeight="false" outlineLevel="0" collapsed="false">
      <c r="A42" s="8" t="s">
        <v>758</v>
      </c>
      <c r="B42" s="8" t="s">
        <v>644</v>
      </c>
      <c r="C42" s="8" t="s">
        <v>34</v>
      </c>
      <c r="D42" s="8" t="s">
        <v>77</v>
      </c>
      <c r="E42" s="8" t="s">
        <v>759</v>
      </c>
      <c r="F42" s="8" t="s">
        <v>760</v>
      </c>
      <c r="G42" s="8" t="s">
        <v>761</v>
      </c>
      <c r="H42" s="8"/>
      <c r="I42" s="8" t="s">
        <v>762</v>
      </c>
      <c r="J42" s="8" t="s">
        <v>8</v>
      </c>
      <c r="K42" s="8" t="s">
        <v>97</v>
      </c>
      <c r="L42" s="8"/>
      <c r="M42" s="8"/>
      <c r="N42" s="8"/>
      <c r="O42" s="10"/>
      <c r="P42" s="10"/>
      <c r="Q42" s="10"/>
    </row>
    <row r="43" customFormat="false" ht="23.85" hidden="false" customHeight="false" outlineLevel="0" collapsed="false">
      <c r="A43" s="8" t="s">
        <v>763</v>
      </c>
      <c r="B43" s="8" t="s">
        <v>644</v>
      </c>
      <c r="C43" s="8" t="s">
        <v>34</v>
      </c>
      <c r="D43" s="8" t="s">
        <v>77</v>
      </c>
      <c r="E43" s="8" t="s">
        <v>764</v>
      </c>
      <c r="F43" s="8" t="s">
        <v>765</v>
      </c>
      <c r="G43" s="8" t="s">
        <v>766</v>
      </c>
      <c r="H43" s="8"/>
      <c r="I43" s="8" t="s">
        <v>767</v>
      </c>
      <c r="J43" s="8" t="s">
        <v>8</v>
      </c>
      <c r="K43" s="8" t="s">
        <v>97</v>
      </c>
      <c r="L43" s="8"/>
      <c r="M43" s="8"/>
      <c r="N43" s="8"/>
      <c r="O43" s="10"/>
      <c r="P43" s="10"/>
      <c r="Q43" s="10"/>
    </row>
    <row r="44" customFormat="false" ht="35.05" hidden="false" customHeight="false" outlineLevel="0" collapsed="false">
      <c r="A44" s="8" t="s">
        <v>768</v>
      </c>
      <c r="B44" s="8" t="s">
        <v>644</v>
      </c>
      <c r="C44" s="8" t="s">
        <v>30</v>
      </c>
      <c r="D44" s="8" t="s">
        <v>77</v>
      </c>
      <c r="E44" s="8" t="s">
        <v>769</v>
      </c>
      <c r="F44" s="8" t="s">
        <v>760</v>
      </c>
      <c r="G44" s="8" t="s">
        <v>770</v>
      </c>
      <c r="H44" s="8"/>
      <c r="I44" s="8" t="s">
        <v>771</v>
      </c>
      <c r="J44" s="8" t="s">
        <v>8</v>
      </c>
      <c r="K44" s="8" t="s">
        <v>461</v>
      </c>
      <c r="L44" s="8"/>
      <c r="M44" s="8"/>
      <c r="N44" s="8"/>
      <c r="O44" s="10"/>
      <c r="P44" s="10"/>
      <c r="Q44" s="10"/>
    </row>
    <row r="45" customFormat="false" ht="35.05" hidden="false" customHeight="false" outlineLevel="0" collapsed="false">
      <c r="A45" s="8" t="s">
        <v>772</v>
      </c>
      <c r="B45" s="8" t="s">
        <v>644</v>
      </c>
      <c r="C45" s="8" t="s">
        <v>35</v>
      </c>
      <c r="D45" s="8" t="s">
        <v>77</v>
      </c>
      <c r="E45" s="8" t="s">
        <v>773</v>
      </c>
      <c r="F45" s="8" t="s">
        <v>774</v>
      </c>
      <c r="G45" s="8" t="s">
        <v>775</v>
      </c>
      <c r="H45" s="8"/>
      <c r="I45" s="8" t="s">
        <v>776</v>
      </c>
      <c r="J45" s="8" t="s">
        <v>8</v>
      </c>
      <c r="K45" s="8" t="s">
        <v>691</v>
      </c>
      <c r="L45" s="8"/>
      <c r="M45" s="8"/>
      <c r="N45" s="8"/>
      <c r="O45" s="10"/>
      <c r="P45" s="10"/>
      <c r="Q45" s="10"/>
    </row>
    <row r="46" customFormat="false" ht="23.85" hidden="false" customHeight="false" outlineLevel="0" collapsed="false">
      <c r="A46" s="8" t="s">
        <v>777</v>
      </c>
      <c r="B46" s="8" t="s">
        <v>644</v>
      </c>
      <c r="C46" s="8" t="s">
        <v>35</v>
      </c>
      <c r="D46" s="8" t="s">
        <v>109</v>
      </c>
      <c r="E46" s="8" t="s">
        <v>778</v>
      </c>
      <c r="F46" s="8" t="s">
        <v>779</v>
      </c>
      <c r="G46" s="8" t="s">
        <v>780</v>
      </c>
      <c r="H46" s="8"/>
      <c r="I46" s="8" t="s">
        <v>781</v>
      </c>
      <c r="J46" s="8" t="s">
        <v>8</v>
      </c>
      <c r="K46" s="8" t="s">
        <v>493</v>
      </c>
      <c r="L46" s="8"/>
      <c r="M46" s="8"/>
      <c r="N46" s="8"/>
      <c r="O46" s="10"/>
      <c r="P46" s="10"/>
      <c r="Q46" s="10"/>
    </row>
  </sheetData>
  <autoFilter ref="A1:Q46"/>
  <dataValidations count="1">
    <dataValidation allowBlank="true" errorStyle="stop" operator="between" showDropDown="false" showErrorMessage="false" showInputMessage="false" sqref="O2:O46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13"/>
    <col collapsed="false" customWidth="true" hidden="false" outlineLevel="0" max="7" min="7" style="0" width="50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12"/>
    <col collapsed="false" customWidth="true" hidden="false" outlineLevel="0" max="11" min="11" style="0" width="40"/>
    <col collapsed="false" customWidth="true" hidden="false" outlineLevel="0" max="13" min="12" style="0" width="13"/>
    <col collapsed="false" customWidth="true" hidden="false" outlineLevel="0" max="14" min="14" style="0" width="40"/>
    <col collapsed="false" customWidth="true" hidden="false" outlineLevel="0" max="15" min="15" style="0" width="13"/>
    <col collapsed="false" customWidth="true" hidden="false" outlineLevel="0" max="16" min="16" style="0" width="30"/>
    <col collapsed="false" customWidth="true" hidden="false" outlineLevel="0" max="17" min="17" style="0" width="12"/>
  </cols>
  <sheetData>
    <row r="1" customFormat="false" ht="23.85" hidden="false" customHeight="false" outlineLevel="0" collapsed="false">
      <c r="A1" s="3" t="s">
        <v>36</v>
      </c>
      <c r="B1" s="3" t="s">
        <v>37</v>
      </c>
      <c r="C1" s="3" t="s">
        <v>28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51</v>
      </c>
    </row>
    <row r="2" customFormat="false" ht="35.05" hidden="false" customHeight="false" outlineLevel="0" collapsed="false">
      <c r="A2" s="8" t="s">
        <v>782</v>
      </c>
      <c r="B2" s="8" t="s">
        <v>783</v>
      </c>
      <c r="C2" s="8" t="s">
        <v>30</v>
      </c>
      <c r="D2" s="8" t="s">
        <v>54</v>
      </c>
      <c r="E2" s="8" t="s">
        <v>784</v>
      </c>
      <c r="F2" s="8" t="s">
        <v>705</v>
      </c>
      <c r="G2" s="8" t="s">
        <v>785</v>
      </c>
      <c r="H2" s="8" t="s">
        <v>786</v>
      </c>
      <c r="I2" s="8" t="s">
        <v>787</v>
      </c>
      <c r="J2" s="8" t="s">
        <v>8</v>
      </c>
      <c r="K2" s="8" t="s">
        <v>528</v>
      </c>
      <c r="L2" s="8"/>
      <c r="M2" s="8"/>
      <c r="N2" s="8"/>
      <c r="O2" s="10"/>
      <c r="P2" s="10"/>
      <c r="Q2" s="10"/>
    </row>
    <row r="3" customFormat="false" ht="57.45" hidden="false" customHeight="false" outlineLevel="0" collapsed="false">
      <c r="A3" s="8" t="s">
        <v>788</v>
      </c>
      <c r="B3" s="8" t="s">
        <v>783</v>
      </c>
      <c r="C3" s="8" t="s">
        <v>30</v>
      </c>
      <c r="D3" s="8" t="s">
        <v>54</v>
      </c>
      <c r="E3" s="8" t="s">
        <v>789</v>
      </c>
      <c r="F3" s="8" t="s">
        <v>705</v>
      </c>
      <c r="G3" s="8" t="s">
        <v>790</v>
      </c>
      <c r="H3" s="8" t="s">
        <v>791</v>
      </c>
      <c r="I3" s="8" t="s">
        <v>792</v>
      </c>
      <c r="J3" s="8" t="s">
        <v>8</v>
      </c>
      <c r="K3" s="8" t="s">
        <v>528</v>
      </c>
      <c r="L3" s="8"/>
      <c r="M3" s="8"/>
      <c r="N3" s="8"/>
      <c r="O3" s="10"/>
      <c r="P3" s="10"/>
      <c r="Q3" s="10"/>
    </row>
    <row r="4" customFormat="false" ht="57.45" hidden="false" customHeight="false" outlineLevel="0" collapsed="false">
      <c r="A4" s="8" t="s">
        <v>793</v>
      </c>
      <c r="B4" s="8" t="s">
        <v>783</v>
      </c>
      <c r="C4" s="8" t="s">
        <v>30</v>
      </c>
      <c r="D4" s="8" t="s">
        <v>54</v>
      </c>
      <c r="E4" s="8" t="s">
        <v>794</v>
      </c>
      <c r="F4" s="8" t="s">
        <v>705</v>
      </c>
      <c r="G4" s="8" t="s">
        <v>795</v>
      </c>
      <c r="H4" s="8" t="s">
        <v>796</v>
      </c>
      <c r="I4" s="8" t="s">
        <v>792</v>
      </c>
      <c r="J4" s="8" t="s">
        <v>8</v>
      </c>
      <c r="K4" s="8" t="s">
        <v>528</v>
      </c>
      <c r="L4" s="8"/>
      <c r="M4" s="8"/>
      <c r="N4" s="8"/>
      <c r="O4" s="10"/>
      <c r="P4" s="10"/>
      <c r="Q4" s="10"/>
    </row>
    <row r="5" customFormat="false" ht="57.45" hidden="false" customHeight="false" outlineLevel="0" collapsed="false">
      <c r="A5" s="8" t="s">
        <v>797</v>
      </c>
      <c r="B5" s="8" t="s">
        <v>783</v>
      </c>
      <c r="C5" s="8" t="s">
        <v>30</v>
      </c>
      <c r="D5" s="8" t="s">
        <v>54</v>
      </c>
      <c r="E5" s="8" t="s">
        <v>798</v>
      </c>
      <c r="F5" s="8" t="s">
        <v>705</v>
      </c>
      <c r="G5" s="8" t="s">
        <v>799</v>
      </c>
      <c r="H5" s="8" t="s">
        <v>800</v>
      </c>
      <c r="I5" s="8" t="s">
        <v>792</v>
      </c>
      <c r="J5" s="8" t="s">
        <v>8</v>
      </c>
      <c r="K5" s="8" t="s">
        <v>528</v>
      </c>
      <c r="L5" s="8"/>
      <c r="M5" s="8"/>
      <c r="N5" s="8"/>
      <c r="O5" s="10"/>
      <c r="P5" s="10"/>
      <c r="Q5" s="10"/>
    </row>
    <row r="6" customFormat="false" ht="46.25" hidden="false" customHeight="false" outlineLevel="0" collapsed="false">
      <c r="A6" s="8" t="s">
        <v>801</v>
      </c>
      <c r="B6" s="8" t="s">
        <v>783</v>
      </c>
      <c r="C6" s="8" t="s">
        <v>30</v>
      </c>
      <c r="D6" s="8" t="s">
        <v>54</v>
      </c>
      <c r="E6" s="8" t="s">
        <v>802</v>
      </c>
      <c r="F6" s="8" t="s">
        <v>705</v>
      </c>
      <c r="G6" s="8" t="s">
        <v>803</v>
      </c>
      <c r="H6" s="8" t="s">
        <v>804</v>
      </c>
      <c r="I6" s="8" t="s">
        <v>805</v>
      </c>
      <c r="J6" s="8" t="s">
        <v>8</v>
      </c>
      <c r="K6" s="8" t="s">
        <v>528</v>
      </c>
      <c r="L6" s="8"/>
      <c r="M6" s="8"/>
      <c r="N6" s="8"/>
      <c r="O6" s="10"/>
      <c r="P6" s="10"/>
      <c r="Q6" s="10"/>
    </row>
    <row r="7" customFormat="false" ht="46.25" hidden="false" customHeight="false" outlineLevel="0" collapsed="false">
      <c r="A7" s="8" t="s">
        <v>806</v>
      </c>
      <c r="B7" s="8" t="s">
        <v>783</v>
      </c>
      <c r="C7" s="8" t="s">
        <v>30</v>
      </c>
      <c r="D7" s="8" t="s">
        <v>54</v>
      </c>
      <c r="E7" s="8" t="s">
        <v>807</v>
      </c>
      <c r="F7" s="8" t="s">
        <v>705</v>
      </c>
      <c r="G7" s="8" t="s">
        <v>808</v>
      </c>
      <c r="H7" s="8" t="s">
        <v>809</v>
      </c>
      <c r="I7" s="8" t="s">
        <v>810</v>
      </c>
      <c r="J7" s="8" t="s">
        <v>8</v>
      </c>
      <c r="K7" s="8" t="s">
        <v>528</v>
      </c>
      <c r="L7" s="8"/>
      <c r="M7" s="8"/>
      <c r="N7" s="8"/>
      <c r="O7" s="10"/>
      <c r="P7" s="10"/>
      <c r="Q7" s="10"/>
    </row>
    <row r="8" customFormat="false" ht="46.25" hidden="false" customHeight="false" outlineLevel="0" collapsed="false">
      <c r="A8" s="8" t="s">
        <v>811</v>
      </c>
      <c r="B8" s="8" t="s">
        <v>783</v>
      </c>
      <c r="C8" s="8" t="s">
        <v>30</v>
      </c>
      <c r="D8" s="8" t="s">
        <v>77</v>
      </c>
      <c r="E8" s="8" t="s">
        <v>812</v>
      </c>
      <c r="F8" s="8" t="s">
        <v>705</v>
      </c>
      <c r="G8" s="8" t="s">
        <v>813</v>
      </c>
      <c r="H8" s="8" t="s">
        <v>814</v>
      </c>
      <c r="I8" s="8" t="s">
        <v>815</v>
      </c>
      <c r="J8" s="8" t="s">
        <v>8</v>
      </c>
      <c r="K8" s="8" t="s">
        <v>528</v>
      </c>
      <c r="L8" s="8"/>
      <c r="M8" s="8"/>
      <c r="N8" s="8"/>
      <c r="O8" s="10"/>
      <c r="P8" s="10"/>
      <c r="Q8" s="10"/>
    </row>
    <row r="9" customFormat="false" ht="46.25" hidden="false" customHeight="false" outlineLevel="0" collapsed="false">
      <c r="A9" s="8" t="s">
        <v>816</v>
      </c>
      <c r="B9" s="8" t="s">
        <v>783</v>
      </c>
      <c r="C9" s="8" t="s">
        <v>30</v>
      </c>
      <c r="D9" s="8" t="s">
        <v>77</v>
      </c>
      <c r="E9" s="8" t="s">
        <v>817</v>
      </c>
      <c r="F9" s="8" t="s">
        <v>705</v>
      </c>
      <c r="G9" s="8" t="s">
        <v>818</v>
      </c>
      <c r="H9" s="8" t="s">
        <v>819</v>
      </c>
      <c r="I9" s="8" t="s">
        <v>820</v>
      </c>
      <c r="J9" s="8" t="s">
        <v>8</v>
      </c>
      <c r="K9" s="8" t="s">
        <v>528</v>
      </c>
      <c r="L9" s="8"/>
      <c r="M9" s="8"/>
      <c r="N9" s="8"/>
      <c r="O9" s="10"/>
      <c r="P9" s="10"/>
      <c r="Q9" s="10"/>
    </row>
    <row r="10" customFormat="false" ht="57.45" hidden="false" customHeight="false" outlineLevel="0" collapsed="false">
      <c r="A10" s="8" t="s">
        <v>821</v>
      </c>
      <c r="B10" s="8" t="s">
        <v>783</v>
      </c>
      <c r="C10" s="8" t="s">
        <v>30</v>
      </c>
      <c r="D10" s="8" t="s">
        <v>77</v>
      </c>
      <c r="E10" s="8" t="s">
        <v>822</v>
      </c>
      <c r="F10" s="8" t="s">
        <v>705</v>
      </c>
      <c r="G10" s="8" t="s">
        <v>823</v>
      </c>
      <c r="H10" s="8" t="s">
        <v>824</v>
      </c>
      <c r="I10" s="8" t="s">
        <v>825</v>
      </c>
      <c r="J10" s="8" t="s">
        <v>8</v>
      </c>
      <c r="K10" s="8" t="s">
        <v>528</v>
      </c>
      <c r="L10" s="8"/>
      <c r="M10" s="8"/>
      <c r="N10" s="8"/>
      <c r="O10" s="10"/>
      <c r="P10" s="10"/>
      <c r="Q10" s="10"/>
    </row>
    <row r="11" customFormat="false" ht="35.05" hidden="false" customHeight="false" outlineLevel="0" collapsed="false">
      <c r="A11" s="8" t="s">
        <v>826</v>
      </c>
      <c r="B11" s="8" t="s">
        <v>783</v>
      </c>
      <c r="C11" s="8" t="s">
        <v>31</v>
      </c>
      <c r="D11" s="8" t="s">
        <v>54</v>
      </c>
      <c r="E11" s="8" t="s">
        <v>827</v>
      </c>
      <c r="F11" s="8" t="s">
        <v>828</v>
      </c>
      <c r="G11" s="8" t="s">
        <v>829</v>
      </c>
      <c r="H11" s="8" t="s">
        <v>830</v>
      </c>
      <c r="I11" s="8" t="s">
        <v>831</v>
      </c>
      <c r="J11" s="8" t="s">
        <v>8</v>
      </c>
      <c r="K11" s="8" t="s">
        <v>528</v>
      </c>
      <c r="L11" s="8"/>
      <c r="M11" s="8"/>
      <c r="N11" s="8"/>
      <c r="O11" s="10"/>
      <c r="P11" s="10"/>
      <c r="Q11" s="10"/>
    </row>
    <row r="12" customFormat="false" ht="35.05" hidden="false" customHeight="false" outlineLevel="0" collapsed="false">
      <c r="A12" s="8" t="s">
        <v>832</v>
      </c>
      <c r="B12" s="8" t="s">
        <v>783</v>
      </c>
      <c r="C12" s="8" t="s">
        <v>31</v>
      </c>
      <c r="D12" s="8" t="s">
        <v>54</v>
      </c>
      <c r="E12" s="8" t="s">
        <v>833</v>
      </c>
      <c r="F12" s="8" t="s">
        <v>828</v>
      </c>
      <c r="G12" s="8" t="s">
        <v>834</v>
      </c>
      <c r="H12" s="8"/>
      <c r="I12" s="8" t="s">
        <v>835</v>
      </c>
      <c r="J12" s="8" t="s">
        <v>8</v>
      </c>
      <c r="K12" s="8" t="s">
        <v>528</v>
      </c>
      <c r="L12" s="8"/>
      <c r="M12" s="8"/>
      <c r="N12" s="8"/>
      <c r="O12" s="10"/>
      <c r="P12" s="10"/>
      <c r="Q12" s="10"/>
    </row>
    <row r="13" customFormat="false" ht="35.05" hidden="false" customHeight="false" outlineLevel="0" collapsed="false">
      <c r="A13" s="8" t="s">
        <v>836</v>
      </c>
      <c r="B13" s="8" t="s">
        <v>783</v>
      </c>
      <c r="C13" s="8" t="s">
        <v>29</v>
      </c>
      <c r="D13" s="8" t="s">
        <v>77</v>
      </c>
      <c r="E13" s="8" t="s">
        <v>837</v>
      </c>
      <c r="F13" s="8" t="s">
        <v>828</v>
      </c>
      <c r="G13" s="8" t="s">
        <v>838</v>
      </c>
      <c r="H13" s="8"/>
      <c r="I13" s="8" t="s">
        <v>839</v>
      </c>
      <c r="J13" s="8" t="s">
        <v>8</v>
      </c>
      <c r="K13" s="8" t="s">
        <v>528</v>
      </c>
      <c r="L13" s="8"/>
      <c r="M13" s="8"/>
      <c r="N13" s="8"/>
      <c r="O13" s="10"/>
      <c r="P13" s="10"/>
      <c r="Q13" s="10"/>
    </row>
    <row r="14" customFormat="false" ht="35.05" hidden="false" customHeight="false" outlineLevel="0" collapsed="false">
      <c r="A14" s="8" t="s">
        <v>840</v>
      </c>
      <c r="B14" s="8" t="s">
        <v>783</v>
      </c>
      <c r="C14" s="8" t="s">
        <v>29</v>
      </c>
      <c r="D14" s="8" t="s">
        <v>77</v>
      </c>
      <c r="E14" s="8" t="s">
        <v>841</v>
      </c>
      <c r="F14" s="8" t="s">
        <v>842</v>
      </c>
      <c r="G14" s="8" t="s">
        <v>843</v>
      </c>
      <c r="H14" s="8"/>
      <c r="I14" s="8" t="s">
        <v>844</v>
      </c>
      <c r="J14" s="8" t="s">
        <v>8</v>
      </c>
      <c r="K14" s="8" t="s">
        <v>528</v>
      </c>
      <c r="L14" s="8"/>
      <c r="M14" s="8"/>
      <c r="N14" s="8"/>
      <c r="O14" s="10"/>
      <c r="P14" s="10"/>
      <c r="Q14" s="10"/>
    </row>
    <row r="15" customFormat="false" ht="35.05" hidden="false" customHeight="false" outlineLevel="0" collapsed="false">
      <c r="A15" s="8" t="s">
        <v>845</v>
      </c>
      <c r="B15" s="8" t="s">
        <v>783</v>
      </c>
      <c r="C15" s="8" t="s">
        <v>29</v>
      </c>
      <c r="D15" s="8" t="s">
        <v>77</v>
      </c>
      <c r="E15" s="8" t="s">
        <v>846</v>
      </c>
      <c r="F15" s="8" t="s">
        <v>847</v>
      </c>
      <c r="G15" s="8" t="s">
        <v>848</v>
      </c>
      <c r="H15" s="8"/>
      <c r="I15" s="8" t="s">
        <v>849</v>
      </c>
      <c r="J15" s="8" t="s">
        <v>8</v>
      </c>
      <c r="K15" s="8" t="s">
        <v>528</v>
      </c>
      <c r="L15" s="8"/>
      <c r="M15" s="8"/>
      <c r="N15" s="8"/>
      <c r="O15" s="10"/>
      <c r="P15" s="10"/>
      <c r="Q15" s="10"/>
    </row>
    <row r="16" customFormat="false" ht="23.85" hidden="false" customHeight="false" outlineLevel="0" collapsed="false">
      <c r="A16" s="8" t="s">
        <v>850</v>
      </c>
      <c r="B16" s="8" t="s">
        <v>783</v>
      </c>
      <c r="C16" s="8" t="s">
        <v>35</v>
      </c>
      <c r="D16" s="8" t="s">
        <v>77</v>
      </c>
      <c r="E16" s="8" t="s">
        <v>851</v>
      </c>
      <c r="F16" s="8" t="s">
        <v>852</v>
      </c>
      <c r="G16" s="8" t="s">
        <v>853</v>
      </c>
      <c r="H16" s="8"/>
      <c r="I16" s="8" t="s">
        <v>854</v>
      </c>
      <c r="J16" s="8" t="s">
        <v>8</v>
      </c>
      <c r="K16" s="8" t="s">
        <v>493</v>
      </c>
      <c r="L16" s="8"/>
      <c r="M16" s="8"/>
      <c r="N16" s="8"/>
      <c r="O16" s="10"/>
      <c r="P16" s="10"/>
      <c r="Q16" s="10"/>
    </row>
    <row r="17" customFormat="false" ht="23.85" hidden="false" customHeight="false" outlineLevel="0" collapsed="false">
      <c r="A17" s="8" t="s">
        <v>855</v>
      </c>
      <c r="B17" s="8" t="s">
        <v>783</v>
      </c>
      <c r="C17" s="8" t="s">
        <v>32</v>
      </c>
      <c r="D17" s="8" t="s">
        <v>54</v>
      </c>
      <c r="E17" s="8" t="s">
        <v>856</v>
      </c>
      <c r="F17" s="8" t="s">
        <v>828</v>
      </c>
      <c r="G17" s="8" t="s">
        <v>857</v>
      </c>
      <c r="H17" s="8"/>
      <c r="I17" s="8" t="s">
        <v>858</v>
      </c>
      <c r="J17" s="8" t="s">
        <v>8</v>
      </c>
      <c r="K17" s="8" t="s">
        <v>499</v>
      </c>
      <c r="L17" s="8"/>
      <c r="M17" s="8"/>
      <c r="N17" s="8"/>
      <c r="O17" s="10"/>
      <c r="P17" s="10"/>
      <c r="Q17" s="10"/>
    </row>
    <row r="18" customFormat="false" ht="23.85" hidden="false" customHeight="false" outlineLevel="0" collapsed="false">
      <c r="A18" s="8" t="s">
        <v>859</v>
      </c>
      <c r="B18" s="8" t="s">
        <v>783</v>
      </c>
      <c r="C18" s="8" t="s">
        <v>33</v>
      </c>
      <c r="D18" s="8" t="s">
        <v>77</v>
      </c>
      <c r="E18" s="8" t="s">
        <v>860</v>
      </c>
      <c r="F18" s="8" t="s">
        <v>351</v>
      </c>
      <c r="G18" s="8" t="s">
        <v>861</v>
      </c>
      <c r="H18" s="8"/>
      <c r="I18" s="8" t="s">
        <v>862</v>
      </c>
      <c r="J18" s="8" t="s">
        <v>8</v>
      </c>
      <c r="K18" s="8" t="s">
        <v>355</v>
      </c>
      <c r="L18" s="8"/>
      <c r="M18" s="8"/>
      <c r="N18" s="8"/>
      <c r="O18" s="10"/>
      <c r="P18" s="10"/>
      <c r="Q18" s="10"/>
    </row>
    <row r="19" customFormat="false" ht="15" hidden="false" customHeight="false" outlineLevel="0" collapsed="false">
      <c r="A19" s="8" t="s">
        <v>863</v>
      </c>
      <c r="B19" s="8" t="s">
        <v>783</v>
      </c>
      <c r="C19" s="8" t="s">
        <v>35</v>
      </c>
      <c r="D19" s="8" t="s">
        <v>109</v>
      </c>
      <c r="E19" s="8" t="s">
        <v>864</v>
      </c>
      <c r="F19" s="8" t="s">
        <v>847</v>
      </c>
      <c r="G19" s="8" t="s">
        <v>865</v>
      </c>
      <c r="H19" s="8"/>
      <c r="I19" s="8" t="s">
        <v>866</v>
      </c>
      <c r="J19" s="8" t="s">
        <v>7</v>
      </c>
      <c r="K19" s="8"/>
      <c r="L19" s="9" t="s">
        <v>60</v>
      </c>
      <c r="M19" s="9" t="s">
        <v>60</v>
      </c>
      <c r="N19" s="8"/>
      <c r="O19" s="10"/>
      <c r="P19" s="10"/>
      <c r="Q19" s="10"/>
    </row>
    <row r="20" customFormat="false" ht="35.05" hidden="false" customHeight="false" outlineLevel="0" collapsed="false">
      <c r="A20" s="8" t="s">
        <v>867</v>
      </c>
      <c r="B20" s="8" t="s">
        <v>868</v>
      </c>
      <c r="C20" s="8" t="s">
        <v>34</v>
      </c>
      <c r="D20" s="8" t="s">
        <v>54</v>
      </c>
      <c r="E20" s="8" t="s">
        <v>869</v>
      </c>
      <c r="F20" s="8" t="s">
        <v>870</v>
      </c>
      <c r="G20" s="8" t="s">
        <v>871</v>
      </c>
      <c r="H20" s="8"/>
      <c r="I20" s="8" t="s">
        <v>872</v>
      </c>
      <c r="J20" s="8" t="s">
        <v>8</v>
      </c>
      <c r="K20" s="8" t="s">
        <v>873</v>
      </c>
      <c r="L20" s="8"/>
      <c r="M20" s="8"/>
      <c r="N20" s="8"/>
      <c r="O20" s="10"/>
      <c r="P20" s="10"/>
      <c r="Q20" s="10"/>
    </row>
    <row r="21" customFormat="false" ht="35.05" hidden="false" customHeight="false" outlineLevel="0" collapsed="false">
      <c r="A21" s="8" t="s">
        <v>874</v>
      </c>
      <c r="B21" s="8" t="s">
        <v>868</v>
      </c>
      <c r="C21" s="8" t="s">
        <v>30</v>
      </c>
      <c r="D21" s="8" t="s">
        <v>54</v>
      </c>
      <c r="E21" s="8" t="s">
        <v>875</v>
      </c>
      <c r="F21" s="8" t="s">
        <v>876</v>
      </c>
      <c r="G21" s="8" t="s">
        <v>877</v>
      </c>
      <c r="H21" s="8"/>
      <c r="I21" s="8" t="s">
        <v>878</v>
      </c>
      <c r="J21" s="8" t="s">
        <v>8</v>
      </c>
      <c r="K21" s="8" t="s">
        <v>873</v>
      </c>
      <c r="L21" s="8"/>
      <c r="M21" s="8"/>
      <c r="N21" s="8"/>
      <c r="O21" s="10"/>
      <c r="P21" s="10"/>
      <c r="Q21" s="10"/>
    </row>
    <row r="22" customFormat="false" ht="35.05" hidden="false" customHeight="false" outlineLevel="0" collapsed="false">
      <c r="A22" s="8" t="s">
        <v>879</v>
      </c>
      <c r="B22" s="8" t="s">
        <v>868</v>
      </c>
      <c r="C22" s="8" t="s">
        <v>30</v>
      </c>
      <c r="D22" s="8" t="s">
        <v>54</v>
      </c>
      <c r="E22" s="8" t="s">
        <v>880</v>
      </c>
      <c r="F22" s="8" t="s">
        <v>876</v>
      </c>
      <c r="G22" s="8" t="s">
        <v>881</v>
      </c>
      <c r="H22" s="8"/>
      <c r="I22" s="8" t="s">
        <v>882</v>
      </c>
      <c r="J22" s="8" t="s">
        <v>8</v>
      </c>
      <c r="K22" s="8" t="s">
        <v>873</v>
      </c>
      <c r="L22" s="8"/>
      <c r="M22" s="8"/>
      <c r="N22" s="8"/>
      <c r="O22" s="10"/>
      <c r="P22" s="10"/>
      <c r="Q22" s="10"/>
    </row>
    <row r="23" customFormat="false" ht="35.05" hidden="false" customHeight="false" outlineLevel="0" collapsed="false">
      <c r="A23" s="8" t="s">
        <v>883</v>
      </c>
      <c r="B23" s="8" t="s">
        <v>868</v>
      </c>
      <c r="C23" s="8" t="s">
        <v>30</v>
      </c>
      <c r="D23" s="8" t="s">
        <v>54</v>
      </c>
      <c r="E23" s="8" t="s">
        <v>884</v>
      </c>
      <c r="F23" s="8" t="s">
        <v>876</v>
      </c>
      <c r="G23" s="8" t="s">
        <v>885</v>
      </c>
      <c r="H23" s="8"/>
      <c r="I23" s="8" t="s">
        <v>886</v>
      </c>
      <c r="J23" s="8" t="s">
        <v>8</v>
      </c>
      <c r="K23" s="8" t="s">
        <v>873</v>
      </c>
      <c r="L23" s="8"/>
      <c r="M23" s="8"/>
      <c r="N23" s="8"/>
      <c r="O23" s="10"/>
      <c r="P23" s="10"/>
      <c r="Q23" s="10"/>
    </row>
    <row r="24" customFormat="false" ht="35.05" hidden="false" customHeight="false" outlineLevel="0" collapsed="false">
      <c r="A24" s="8" t="s">
        <v>887</v>
      </c>
      <c r="B24" s="8" t="s">
        <v>868</v>
      </c>
      <c r="C24" s="8" t="s">
        <v>34</v>
      </c>
      <c r="D24" s="8" t="s">
        <v>54</v>
      </c>
      <c r="E24" s="8" t="s">
        <v>888</v>
      </c>
      <c r="F24" s="8" t="s">
        <v>889</v>
      </c>
      <c r="G24" s="8" t="s">
        <v>890</v>
      </c>
      <c r="H24" s="8"/>
      <c r="I24" s="8" t="s">
        <v>891</v>
      </c>
      <c r="J24" s="8" t="s">
        <v>8</v>
      </c>
      <c r="K24" s="8" t="s">
        <v>873</v>
      </c>
      <c r="L24" s="8"/>
      <c r="M24" s="8"/>
      <c r="N24" s="8"/>
      <c r="O24" s="10"/>
      <c r="P24" s="10"/>
      <c r="Q24" s="10"/>
    </row>
    <row r="25" customFormat="false" ht="23.85" hidden="false" customHeight="false" outlineLevel="0" collapsed="false">
      <c r="A25" s="8" t="s">
        <v>892</v>
      </c>
      <c r="B25" s="8" t="s">
        <v>868</v>
      </c>
      <c r="C25" s="8" t="s">
        <v>32</v>
      </c>
      <c r="D25" s="8" t="s">
        <v>54</v>
      </c>
      <c r="E25" s="8" t="s">
        <v>893</v>
      </c>
      <c r="F25" s="8" t="s">
        <v>894</v>
      </c>
      <c r="G25" s="8" t="s">
        <v>895</v>
      </c>
      <c r="H25" s="8"/>
      <c r="I25" s="8" t="s">
        <v>896</v>
      </c>
      <c r="J25" s="8" t="s">
        <v>8</v>
      </c>
      <c r="K25" s="8" t="s">
        <v>499</v>
      </c>
      <c r="L25" s="8"/>
      <c r="M25" s="8"/>
      <c r="N25" s="8"/>
      <c r="O25" s="10"/>
      <c r="P25" s="10"/>
      <c r="Q25" s="10"/>
    </row>
    <row r="26" customFormat="false" ht="35.05" hidden="false" customHeight="false" outlineLevel="0" collapsed="false">
      <c r="A26" s="8" t="s">
        <v>897</v>
      </c>
      <c r="B26" s="8" t="s">
        <v>868</v>
      </c>
      <c r="C26" s="8" t="s">
        <v>35</v>
      </c>
      <c r="D26" s="8" t="s">
        <v>54</v>
      </c>
      <c r="E26" s="8" t="s">
        <v>898</v>
      </c>
      <c r="F26" s="8" t="s">
        <v>899</v>
      </c>
      <c r="G26" s="8" t="s">
        <v>900</v>
      </c>
      <c r="H26" s="8"/>
      <c r="I26" s="8" t="s">
        <v>901</v>
      </c>
      <c r="J26" s="8" t="s">
        <v>8</v>
      </c>
      <c r="K26" s="8" t="s">
        <v>461</v>
      </c>
      <c r="L26" s="8"/>
      <c r="M26" s="8"/>
      <c r="N26" s="8"/>
      <c r="O26" s="10"/>
      <c r="P26" s="10"/>
      <c r="Q26" s="10"/>
    </row>
    <row r="27" customFormat="false" ht="35.05" hidden="false" customHeight="false" outlineLevel="0" collapsed="false">
      <c r="A27" s="8" t="s">
        <v>902</v>
      </c>
      <c r="B27" s="8" t="s">
        <v>868</v>
      </c>
      <c r="C27" s="8" t="s">
        <v>35</v>
      </c>
      <c r="D27" s="8" t="s">
        <v>77</v>
      </c>
      <c r="E27" s="8" t="s">
        <v>903</v>
      </c>
      <c r="F27" s="8" t="s">
        <v>904</v>
      </c>
      <c r="G27" s="8" t="s">
        <v>905</v>
      </c>
      <c r="H27" s="8"/>
      <c r="I27" s="8" t="s">
        <v>906</v>
      </c>
      <c r="J27" s="8" t="s">
        <v>8</v>
      </c>
      <c r="K27" s="8" t="s">
        <v>461</v>
      </c>
      <c r="L27" s="8"/>
      <c r="M27" s="8"/>
      <c r="N27" s="8"/>
      <c r="O27" s="10"/>
      <c r="P27" s="10"/>
      <c r="Q27" s="10"/>
    </row>
    <row r="28" customFormat="false" ht="35.05" hidden="false" customHeight="false" outlineLevel="0" collapsed="false">
      <c r="A28" s="8" t="s">
        <v>907</v>
      </c>
      <c r="B28" s="8" t="s">
        <v>868</v>
      </c>
      <c r="C28" s="8" t="s">
        <v>35</v>
      </c>
      <c r="D28" s="8" t="s">
        <v>77</v>
      </c>
      <c r="E28" s="8" t="s">
        <v>908</v>
      </c>
      <c r="F28" s="8" t="s">
        <v>909</v>
      </c>
      <c r="G28" s="8" t="s">
        <v>910</v>
      </c>
      <c r="H28" s="8"/>
      <c r="I28" s="8" t="s">
        <v>911</v>
      </c>
      <c r="J28" s="8" t="s">
        <v>8</v>
      </c>
      <c r="K28" s="8" t="s">
        <v>461</v>
      </c>
      <c r="L28" s="8"/>
      <c r="M28" s="8"/>
      <c r="N28" s="8"/>
      <c r="O28" s="10"/>
      <c r="P28" s="10"/>
      <c r="Q28" s="10"/>
    </row>
    <row r="29" customFormat="false" ht="35.05" hidden="false" customHeight="false" outlineLevel="0" collapsed="false">
      <c r="A29" s="8" t="s">
        <v>912</v>
      </c>
      <c r="B29" s="8" t="s">
        <v>868</v>
      </c>
      <c r="C29" s="8" t="s">
        <v>35</v>
      </c>
      <c r="D29" s="8" t="s">
        <v>77</v>
      </c>
      <c r="E29" s="8" t="s">
        <v>913</v>
      </c>
      <c r="F29" s="8" t="s">
        <v>914</v>
      </c>
      <c r="G29" s="8" t="s">
        <v>915</v>
      </c>
      <c r="H29" s="8"/>
      <c r="I29" s="8" t="s">
        <v>916</v>
      </c>
      <c r="J29" s="8" t="s">
        <v>8</v>
      </c>
      <c r="K29" s="8" t="s">
        <v>461</v>
      </c>
      <c r="L29" s="8"/>
      <c r="M29" s="8"/>
      <c r="N29" s="8"/>
      <c r="O29" s="10"/>
      <c r="P29" s="10"/>
      <c r="Q29" s="10"/>
    </row>
    <row r="30" customFormat="false" ht="23.85" hidden="false" customHeight="false" outlineLevel="0" collapsed="false">
      <c r="A30" s="8" t="s">
        <v>917</v>
      </c>
      <c r="B30" s="8" t="s">
        <v>868</v>
      </c>
      <c r="C30" s="8" t="s">
        <v>35</v>
      </c>
      <c r="D30" s="8" t="s">
        <v>77</v>
      </c>
      <c r="E30" s="8" t="s">
        <v>918</v>
      </c>
      <c r="F30" s="8" t="s">
        <v>919</v>
      </c>
      <c r="G30" s="8" t="s">
        <v>920</v>
      </c>
      <c r="H30" s="8"/>
      <c r="I30" s="8" t="s">
        <v>921</v>
      </c>
      <c r="J30" s="8" t="s">
        <v>8</v>
      </c>
      <c r="K30" s="8" t="s">
        <v>493</v>
      </c>
      <c r="L30" s="8"/>
      <c r="M30" s="8"/>
      <c r="N30" s="8"/>
      <c r="O30" s="10"/>
      <c r="P30" s="10"/>
      <c r="Q30" s="10"/>
    </row>
    <row r="31" customFormat="false" ht="23.85" hidden="false" customHeight="false" outlineLevel="0" collapsed="false">
      <c r="A31" s="8" t="s">
        <v>922</v>
      </c>
      <c r="B31" s="8" t="s">
        <v>923</v>
      </c>
      <c r="C31" s="8" t="s">
        <v>29</v>
      </c>
      <c r="D31" s="8" t="s">
        <v>54</v>
      </c>
      <c r="E31" s="8" t="s">
        <v>924</v>
      </c>
      <c r="F31" s="8" t="s">
        <v>925</v>
      </c>
      <c r="G31" s="8" t="s">
        <v>926</v>
      </c>
      <c r="H31" s="8"/>
      <c r="I31" s="8" t="s">
        <v>927</v>
      </c>
      <c r="J31" s="8" t="s">
        <v>8</v>
      </c>
      <c r="K31" s="8" t="s">
        <v>355</v>
      </c>
      <c r="L31" s="8"/>
      <c r="M31" s="8"/>
      <c r="N31" s="8"/>
      <c r="O31" s="10"/>
      <c r="P31" s="10"/>
      <c r="Q31" s="10"/>
    </row>
    <row r="32" customFormat="false" ht="23.85" hidden="false" customHeight="false" outlineLevel="0" collapsed="false">
      <c r="A32" s="8" t="s">
        <v>928</v>
      </c>
      <c r="B32" s="8" t="s">
        <v>923</v>
      </c>
      <c r="C32" s="8" t="s">
        <v>30</v>
      </c>
      <c r="D32" s="8" t="s">
        <v>77</v>
      </c>
      <c r="E32" s="8" t="s">
        <v>929</v>
      </c>
      <c r="F32" s="8" t="s">
        <v>925</v>
      </c>
      <c r="G32" s="8" t="s">
        <v>930</v>
      </c>
      <c r="H32" s="8"/>
      <c r="I32" s="8" t="s">
        <v>931</v>
      </c>
      <c r="J32" s="8" t="s">
        <v>8</v>
      </c>
      <c r="K32" s="8" t="s">
        <v>355</v>
      </c>
      <c r="L32" s="8"/>
      <c r="M32" s="8"/>
      <c r="N32" s="8"/>
      <c r="O32" s="10"/>
      <c r="P32" s="10"/>
      <c r="Q32" s="10"/>
    </row>
    <row r="33" customFormat="false" ht="35.05" hidden="false" customHeight="false" outlineLevel="0" collapsed="false">
      <c r="A33" s="8" t="s">
        <v>932</v>
      </c>
      <c r="B33" s="8" t="s">
        <v>923</v>
      </c>
      <c r="C33" s="8" t="s">
        <v>30</v>
      </c>
      <c r="D33" s="8" t="s">
        <v>77</v>
      </c>
      <c r="E33" s="8" t="s">
        <v>933</v>
      </c>
      <c r="F33" s="8" t="s">
        <v>925</v>
      </c>
      <c r="G33" s="8" t="s">
        <v>934</v>
      </c>
      <c r="H33" s="8"/>
      <c r="I33" s="8" t="s">
        <v>935</v>
      </c>
      <c r="J33" s="8" t="s">
        <v>8</v>
      </c>
      <c r="K33" s="8" t="s">
        <v>873</v>
      </c>
      <c r="L33" s="8"/>
      <c r="M33" s="8"/>
      <c r="N33" s="8"/>
      <c r="O33" s="10"/>
      <c r="P33" s="10"/>
      <c r="Q33" s="10"/>
    </row>
    <row r="34" customFormat="false" ht="23.85" hidden="false" customHeight="false" outlineLevel="0" collapsed="false">
      <c r="A34" s="8" t="s">
        <v>936</v>
      </c>
      <c r="B34" s="8" t="s">
        <v>923</v>
      </c>
      <c r="C34" s="8" t="s">
        <v>32</v>
      </c>
      <c r="D34" s="8" t="s">
        <v>109</v>
      </c>
      <c r="E34" s="8" t="s">
        <v>937</v>
      </c>
      <c r="F34" s="8" t="s">
        <v>925</v>
      </c>
      <c r="G34" s="8" t="s">
        <v>938</v>
      </c>
      <c r="H34" s="8"/>
      <c r="I34" s="8" t="s">
        <v>939</v>
      </c>
      <c r="J34" s="8" t="s">
        <v>8</v>
      </c>
      <c r="K34" s="8" t="s">
        <v>355</v>
      </c>
      <c r="L34" s="8"/>
      <c r="M34" s="8"/>
      <c r="N34" s="8"/>
      <c r="O34" s="10"/>
      <c r="P34" s="10"/>
      <c r="Q34" s="10"/>
    </row>
    <row r="35" customFormat="false" ht="35.05" hidden="false" customHeight="false" outlineLevel="0" collapsed="false">
      <c r="A35" s="8" t="s">
        <v>940</v>
      </c>
      <c r="B35" s="8" t="s">
        <v>923</v>
      </c>
      <c r="C35" s="8" t="s">
        <v>29</v>
      </c>
      <c r="D35" s="8" t="s">
        <v>54</v>
      </c>
      <c r="E35" s="8" t="s">
        <v>941</v>
      </c>
      <c r="F35" s="8" t="s">
        <v>942</v>
      </c>
      <c r="G35" s="8" t="s">
        <v>943</v>
      </c>
      <c r="H35" s="8"/>
      <c r="I35" s="8" t="s">
        <v>944</v>
      </c>
      <c r="J35" s="8" t="s">
        <v>8</v>
      </c>
      <c r="K35" s="8" t="s">
        <v>945</v>
      </c>
      <c r="L35" s="8"/>
      <c r="M35" s="8"/>
      <c r="N35" s="8"/>
      <c r="O35" s="10"/>
      <c r="P35" s="10"/>
      <c r="Q35" s="10"/>
    </row>
    <row r="36" customFormat="false" ht="23.85" hidden="false" customHeight="false" outlineLevel="0" collapsed="false">
      <c r="A36" s="8" t="s">
        <v>946</v>
      </c>
      <c r="B36" s="8" t="s">
        <v>923</v>
      </c>
      <c r="C36" s="8" t="s">
        <v>31</v>
      </c>
      <c r="D36" s="8" t="s">
        <v>77</v>
      </c>
      <c r="E36" s="8" t="s">
        <v>947</v>
      </c>
      <c r="F36" s="8" t="s">
        <v>942</v>
      </c>
      <c r="G36" s="8" t="s">
        <v>948</v>
      </c>
      <c r="H36" s="8"/>
      <c r="I36" s="8" t="s">
        <v>949</v>
      </c>
      <c r="J36" s="8" t="s">
        <v>8</v>
      </c>
      <c r="K36" s="8" t="s">
        <v>945</v>
      </c>
      <c r="L36" s="8"/>
      <c r="M36" s="8"/>
      <c r="N36" s="8"/>
      <c r="O36" s="10"/>
      <c r="P36" s="10"/>
      <c r="Q36" s="10"/>
    </row>
    <row r="37" customFormat="false" ht="35.05" hidden="false" customHeight="false" outlineLevel="0" collapsed="false">
      <c r="A37" s="8" t="s">
        <v>950</v>
      </c>
      <c r="B37" s="8" t="s">
        <v>923</v>
      </c>
      <c r="C37" s="8" t="s">
        <v>35</v>
      </c>
      <c r="D37" s="8" t="s">
        <v>77</v>
      </c>
      <c r="E37" s="8" t="s">
        <v>951</v>
      </c>
      <c r="F37" s="8" t="s">
        <v>952</v>
      </c>
      <c r="G37" s="8" t="s">
        <v>953</v>
      </c>
      <c r="H37" s="8"/>
      <c r="I37" s="8" t="s">
        <v>954</v>
      </c>
      <c r="J37" s="8" t="s">
        <v>8</v>
      </c>
      <c r="K37" s="8" t="s">
        <v>91</v>
      </c>
      <c r="L37" s="8"/>
      <c r="M37" s="8"/>
      <c r="N37" s="8"/>
      <c r="O37" s="10"/>
      <c r="P37" s="10"/>
      <c r="Q37" s="10"/>
    </row>
  </sheetData>
  <autoFilter ref="A1:Q37"/>
  <dataValidations count="1">
    <dataValidation allowBlank="true" errorStyle="stop" operator="between" showDropDown="false" showErrorMessage="false" showInputMessage="false" sqref="O2:O37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13"/>
    <col collapsed="false" customWidth="true" hidden="false" outlineLevel="0" max="7" min="7" style="0" width="50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12"/>
    <col collapsed="false" customWidth="true" hidden="false" outlineLevel="0" max="11" min="11" style="0" width="40"/>
    <col collapsed="false" customWidth="true" hidden="false" outlineLevel="0" max="13" min="12" style="0" width="13"/>
    <col collapsed="false" customWidth="true" hidden="false" outlineLevel="0" max="14" min="14" style="0" width="40"/>
    <col collapsed="false" customWidth="true" hidden="false" outlineLevel="0" max="15" min="15" style="0" width="13"/>
    <col collapsed="false" customWidth="true" hidden="false" outlineLevel="0" max="16" min="16" style="0" width="30"/>
    <col collapsed="false" customWidth="true" hidden="false" outlineLevel="0" max="17" min="17" style="0" width="12"/>
  </cols>
  <sheetData>
    <row r="1" customFormat="false" ht="23.85" hidden="false" customHeight="false" outlineLevel="0" collapsed="false">
      <c r="A1" s="3" t="s">
        <v>36</v>
      </c>
      <c r="B1" s="3" t="s">
        <v>37</v>
      </c>
      <c r="C1" s="3" t="s">
        <v>28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51</v>
      </c>
    </row>
    <row r="2" customFormat="false" ht="35.05" hidden="false" customHeight="false" outlineLevel="0" collapsed="false">
      <c r="A2" s="8" t="s">
        <v>955</v>
      </c>
      <c r="B2" s="8" t="s">
        <v>956</v>
      </c>
      <c r="C2" s="8" t="s">
        <v>29</v>
      </c>
      <c r="D2" s="8" t="s">
        <v>54</v>
      </c>
      <c r="E2" s="8" t="s">
        <v>957</v>
      </c>
      <c r="F2" s="8" t="s">
        <v>958</v>
      </c>
      <c r="G2" s="8" t="s">
        <v>959</v>
      </c>
      <c r="H2" s="8"/>
      <c r="I2" s="8" t="s">
        <v>960</v>
      </c>
      <c r="J2" s="8" t="s">
        <v>8</v>
      </c>
      <c r="K2" s="8" t="s">
        <v>461</v>
      </c>
      <c r="L2" s="8"/>
      <c r="M2" s="8"/>
      <c r="N2" s="8"/>
      <c r="O2" s="10"/>
      <c r="P2" s="10"/>
      <c r="Q2" s="10"/>
    </row>
    <row r="3" customFormat="false" ht="35.05" hidden="false" customHeight="false" outlineLevel="0" collapsed="false">
      <c r="A3" s="8" t="s">
        <v>961</v>
      </c>
      <c r="B3" s="8" t="s">
        <v>956</v>
      </c>
      <c r="C3" s="8" t="s">
        <v>29</v>
      </c>
      <c r="D3" s="8" t="s">
        <v>54</v>
      </c>
      <c r="E3" s="8" t="s">
        <v>962</v>
      </c>
      <c r="F3" s="8" t="s">
        <v>958</v>
      </c>
      <c r="G3" s="8" t="s">
        <v>963</v>
      </c>
      <c r="H3" s="8"/>
      <c r="I3" s="8" t="s">
        <v>964</v>
      </c>
      <c r="J3" s="8" t="s">
        <v>8</v>
      </c>
      <c r="K3" s="8" t="s">
        <v>461</v>
      </c>
      <c r="L3" s="8"/>
      <c r="M3" s="8"/>
      <c r="N3" s="8"/>
      <c r="O3" s="10"/>
      <c r="P3" s="10"/>
      <c r="Q3" s="10"/>
    </row>
    <row r="4" customFormat="false" ht="35.05" hidden="false" customHeight="false" outlineLevel="0" collapsed="false">
      <c r="A4" s="8" t="s">
        <v>965</v>
      </c>
      <c r="B4" s="8" t="s">
        <v>956</v>
      </c>
      <c r="C4" s="8" t="s">
        <v>29</v>
      </c>
      <c r="D4" s="8" t="s">
        <v>54</v>
      </c>
      <c r="E4" s="8" t="s">
        <v>966</v>
      </c>
      <c r="F4" s="8" t="s">
        <v>967</v>
      </c>
      <c r="G4" s="8" t="s">
        <v>968</v>
      </c>
      <c r="H4" s="8"/>
      <c r="I4" s="8" t="s">
        <v>969</v>
      </c>
      <c r="J4" s="8" t="s">
        <v>8</v>
      </c>
      <c r="K4" s="8" t="s">
        <v>461</v>
      </c>
      <c r="L4" s="8"/>
      <c r="M4" s="8"/>
      <c r="N4" s="8"/>
      <c r="O4" s="10"/>
      <c r="P4" s="10"/>
      <c r="Q4" s="10"/>
    </row>
    <row r="5" customFormat="false" ht="35.05" hidden="false" customHeight="false" outlineLevel="0" collapsed="false">
      <c r="A5" s="8" t="s">
        <v>970</v>
      </c>
      <c r="B5" s="8" t="s">
        <v>956</v>
      </c>
      <c r="C5" s="8" t="s">
        <v>29</v>
      </c>
      <c r="D5" s="8" t="s">
        <v>54</v>
      </c>
      <c r="E5" s="8" t="s">
        <v>971</v>
      </c>
      <c r="F5" s="8" t="s">
        <v>967</v>
      </c>
      <c r="G5" s="8" t="s">
        <v>972</v>
      </c>
      <c r="H5" s="8"/>
      <c r="I5" s="8" t="s">
        <v>973</v>
      </c>
      <c r="J5" s="8" t="s">
        <v>8</v>
      </c>
      <c r="K5" s="8" t="s">
        <v>461</v>
      </c>
      <c r="L5" s="8"/>
      <c r="M5" s="8"/>
      <c r="N5" s="8"/>
      <c r="O5" s="10"/>
      <c r="P5" s="10"/>
      <c r="Q5" s="10"/>
    </row>
    <row r="6" customFormat="false" ht="35.05" hidden="false" customHeight="false" outlineLevel="0" collapsed="false">
      <c r="A6" s="8" t="s">
        <v>974</v>
      </c>
      <c r="B6" s="8" t="s">
        <v>956</v>
      </c>
      <c r="C6" s="8" t="s">
        <v>31</v>
      </c>
      <c r="D6" s="8" t="s">
        <v>77</v>
      </c>
      <c r="E6" s="8" t="s">
        <v>975</v>
      </c>
      <c r="F6" s="8" t="s">
        <v>958</v>
      </c>
      <c r="G6" s="8" t="s">
        <v>976</v>
      </c>
      <c r="H6" s="8"/>
      <c r="I6" s="8" t="s">
        <v>977</v>
      </c>
      <c r="J6" s="8" t="s">
        <v>8</v>
      </c>
      <c r="K6" s="8" t="s">
        <v>461</v>
      </c>
      <c r="L6" s="8"/>
      <c r="M6" s="8"/>
      <c r="N6" s="8"/>
      <c r="O6" s="10"/>
      <c r="P6" s="10"/>
      <c r="Q6" s="10"/>
    </row>
    <row r="7" customFormat="false" ht="35.05" hidden="false" customHeight="false" outlineLevel="0" collapsed="false">
      <c r="A7" s="8" t="s">
        <v>978</v>
      </c>
      <c r="B7" s="8" t="s">
        <v>956</v>
      </c>
      <c r="C7" s="8" t="s">
        <v>31</v>
      </c>
      <c r="D7" s="8" t="s">
        <v>54</v>
      </c>
      <c r="E7" s="8" t="s">
        <v>979</v>
      </c>
      <c r="F7" s="8" t="s">
        <v>980</v>
      </c>
      <c r="G7" s="8" t="s">
        <v>981</v>
      </c>
      <c r="H7" s="8"/>
      <c r="I7" s="8" t="s">
        <v>982</v>
      </c>
      <c r="J7" s="8" t="s">
        <v>8</v>
      </c>
      <c r="K7" s="8" t="s">
        <v>461</v>
      </c>
      <c r="L7" s="8"/>
      <c r="M7" s="8"/>
      <c r="N7" s="8"/>
      <c r="O7" s="10"/>
      <c r="P7" s="10"/>
      <c r="Q7" s="10"/>
    </row>
    <row r="8" customFormat="false" ht="35.05" hidden="false" customHeight="false" outlineLevel="0" collapsed="false">
      <c r="A8" s="8" t="s">
        <v>983</v>
      </c>
      <c r="B8" s="8" t="s">
        <v>956</v>
      </c>
      <c r="C8" s="8" t="s">
        <v>30</v>
      </c>
      <c r="D8" s="8" t="s">
        <v>54</v>
      </c>
      <c r="E8" s="8" t="s">
        <v>984</v>
      </c>
      <c r="F8" s="8" t="s">
        <v>715</v>
      </c>
      <c r="G8" s="8" t="s">
        <v>985</v>
      </c>
      <c r="H8" s="8"/>
      <c r="I8" s="8" t="s">
        <v>986</v>
      </c>
      <c r="J8" s="8" t="s">
        <v>8</v>
      </c>
      <c r="K8" s="8" t="s">
        <v>97</v>
      </c>
      <c r="L8" s="8"/>
      <c r="M8" s="8"/>
      <c r="N8" s="8"/>
      <c r="O8" s="10"/>
      <c r="P8" s="10"/>
      <c r="Q8" s="10"/>
    </row>
    <row r="9" customFormat="false" ht="35.05" hidden="false" customHeight="false" outlineLevel="0" collapsed="false">
      <c r="A9" s="8" t="s">
        <v>987</v>
      </c>
      <c r="B9" s="8" t="s">
        <v>956</v>
      </c>
      <c r="C9" s="8" t="s">
        <v>35</v>
      </c>
      <c r="D9" s="8" t="s">
        <v>54</v>
      </c>
      <c r="E9" s="8" t="s">
        <v>988</v>
      </c>
      <c r="F9" s="8" t="s">
        <v>989</v>
      </c>
      <c r="G9" s="8" t="s">
        <v>990</v>
      </c>
      <c r="H9" s="8"/>
      <c r="I9" s="8" t="s">
        <v>991</v>
      </c>
      <c r="J9" s="8" t="s">
        <v>8</v>
      </c>
      <c r="K9" s="8" t="s">
        <v>691</v>
      </c>
      <c r="L9" s="8"/>
      <c r="M9" s="8"/>
      <c r="N9" s="8"/>
      <c r="O9" s="10"/>
      <c r="P9" s="10"/>
      <c r="Q9" s="10"/>
    </row>
    <row r="10" customFormat="false" ht="35.05" hidden="false" customHeight="false" outlineLevel="0" collapsed="false">
      <c r="A10" s="8" t="s">
        <v>992</v>
      </c>
      <c r="B10" s="8" t="s">
        <v>956</v>
      </c>
      <c r="C10" s="8" t="s">
        <v>35</v>
      </c>
      <c r="D10" s="8" t="s">
        <v>54</v>
      </c>
      <c r="E10" s="8" t="s">
        <v>993</v>
      </c>
      <c r="F10" s="8" t="s">
        <v>989</v>
      </c>
      <c r="G10" s="8" t="s">
        <v>994</v>
      </c>
      <c r="H10" s="8"/>
      <c r="I10" s="8" t="s">
        <v>995</v>
      </c>
      <c r="J10" s="8" t="s">
        <v>8</v>
      </c>
      <c r="K10" s="8" t="s">
        <v>691</v>
      </c>
      <c r="L10" s="8"/>
      <c r="M10" s="8"/>
      <c r="N10" s="8"/>
      <c r="O10" s="10"/>
      <c r="P10" s="10"/>
      <c r="Q10" s="10"/>
    </row>
    <row r="11" customFormat="false" ht="23.85" hidden="false" customHeight="false" outlineLevel="0" collapsed="false">
      <c r="A11" s="8" t="s">
        <v>996</v>
      </c>
      <c r="B11" s="8" t="s">
        <v>956</v>
      </c>
      <c r="C11" s="8" t="s">
        <v>33</v>
      </c>
      <c r="D11" s="8" t="s">
        <v>77</v>
      </c>
      <c r="E11" s="8" t="s">
        <v>997</v>
      </c>
      <c r="F11" s="8" t="s">
        <v>998</v>
      </c>
      <c r="G11" s="8" t="s">
        <v>999</v>
      </c>
      <c r="H11" s="8"/>
      <c r="I11" s="8" t="s">
        <v>1000</v>
      </c>
      <c r="J11" s="8" t="s">
        <v>8</v>
      </c>
      <c r="K11" s="8" t="s">
        <v>97</v>
      </c>
      <c r="L11" s="8"/>
      <c r="M11" s="8"/>
      <c r="N11" s="8"/>
      <c r="O11" s="10"/>
      <c r="P11" s="10"/>
      <c r="Q11" s="10"/>
    </row>
    <row r="12" customFormat="false" ht="35.05" hidden="false" customHeight="false" outlineLevel="0" collapsed="false">
      <c r="A12" s="8" t="s">
        <v>1001</v>
      </c>
      <c r="B12" s="8" t="s">
        <v>956</v>
      </c>
      <c r="C12" s="8" t="s">
        <v>35</v>
      </c>
      <c r="D12" s="8" t="s">
        <v>77</v>
      </c>
      <c r="E12" s="8" t="s">
        <v>1002</v>
      </c>
      <c r="F12" s="8" t="s">
        <v>1003</v>
      </c>
      <c r="G12" s="8" t="s">
        <v>1004</v>
      </c>
      <c r="H12" s="8"/>
      <c r="I12" s="8" t="s">
        <v>1005</v>
      </c>
      <c r="J12" s="8" t="s">
        <v>8</v>
      </c>
      <c r="K12" s="8" t="s">
        <v>461</v>
      </c>
      <c r="L12" s="8"/>
      <c r="M12" s="8"/>
      <c r="N12" s="8"/>
      <c r="O12" s="10"/>
      <c r="P12" s="10"/>
      <c r="Q12" s="10"/>
    </row>
    <row r="13" customFormat="false" ht="35.05" hidden="false" customHeight="false" outlineLevel="0" collapsed="false">
      <c r="A13" s="8" t="s">
        <v>1006</v>
      </c>
      <c r="B13" s="8" t="s">
        <v>956</v>
      </c>
      <c r="C13" s="8" t="s">
        <v>32</v>
      </c>
      <c r="D13" s="8" t="s">
        <v>54</v>
      </c>
      <c r="E13" s="8" t="s">
        <v>1007</v>
      </c>
      <c r="F13" s="8" t="s">
        <v>1008</v>
      </c>
      <c r="G13" s="8" t="s">
        <v>1009</v>
      </c>
      <c r="H13" s="8"/>
      <c r="I13" s="8" t="s">
        <v>1010</v>
      </c>
      <c r="J13" s="8" t="s">
        <v>8</v>
      </c>
      <c r="K13" s="8" t="s">
        <v>461</v>
      </c>
      <c r="L13" s="8"/>
      <c r="M13" s="8"/>
      <c r="N13" s="8"/>
      <c r="O13" s="10"/>
      <c r="P13" s="10"/>
      <c r="Q13" s="10"/>
    </row>
    <row r="14" customFormat="false" ht="35.05" hidden="false" customHeight="false" outlineLevel="0" collapsed="false">
      <c r="A14" s="8" t="s">
        <v>1011</v>
      </c>
      <c r="B14" s="8" t="s">
        <v>956</v>
      </c>
      <c r="C14" s="8" t="s">
        <v>29</v>
      </c>
      <c r="D14" s="8" t="s">
        <v>77</v>
      </c>
      <c r="E14" s="8" t="s">
        <v>1012</v>
      </c>
      <c r="F14" s="8" t="s">
        <v>958</v>
      </c>
      <c r="G14" s="8" t="s">
        <v>1013</v>
      </c>
      <c r="H14" s="8"/>
      <c r="I14" s="8" t="s">
        <v>1014</v>
      </c>
      <c r="J14" s="8" t="s">
        <v>9</v>
      </c>
      <c r="K14" s="8" t="s">
        <v>461</v>
      </c>
      <c r="L14" s="8"/>
      <c r="M14" s="8"/>
      <c r="N14" s="8"/>
      <c r="O14" s="10"/>
      <c r="P14" s="10"/>
      <c r="Q14" s="10"/>
    </row>
    <row r="15" customFormat="false" ht="23.85" hidden="false" customHeight="false" outlineLevel="0" collapsed="false">
      <c r="A15" s="8" t="s">
        <v>1015</v>
      </c>
      <c r="B15" s="8" t="s">
        <v>956</v>
      </c>
      <c r="C15" s="8" t="s">
        <v>33</v>
      </c>
      <c r="D15" s="8" t="s">
        <v>77</v>
      </c>
      <c r="E15" s="8" t="s">
        <v>1016</v>
      </c>
      <c r="F15" s="8" t="s">
        <v>72</v>
      </c>
      <c r="G15" s="8" t="s">
        <v>1017</v>
      </c>
      <c r="H15" s="8"/>
      <c r="I15" s="8" t="s">
        <v>1018</v>
      </c>
      <c r="J15" s="8" t="s">
        <v>7</v>
      </c>
      <c r="K15" s="8"/>
      <c r="L15" s="9" t="s">
        <v>60</v>
      </c>
      <c r="M15" s="9" t="s">
        <v>60</v>
      </c>
      <c r="N15" s="8"/>
      <c r="O15" s="10"/>
      <c r="P15" s="10"/>
      <c r="Q15" s="10"/>
    </row>
    <row r="16" customFormat="false" ht="15" hidden="false" customHeight="false" outlineLevel="0" collapsed="false">
      <c r="A16" s="8" t="s">
        <v>1019</v>
      </c>
      <c r="B16" s="8" t="s">
        <v>956</v>
      </c>
      <c r="C16" s="8" t="s">
        <v>33</v>
      </c>
      <c r="D16" s="8" t="s">
        <v>109</v>
      </c>
      <c r="E16" s="8" t="s">
        <v>1020</v>
      </c>
      <c r="F16" s="8" t="s">
        <v>72</v>
      </c>
      <c r="G16" s="8" t="s">
        <v>1021</v>
      </c>
      <c r="H16" s="8"/>
      <c r="I16" s="8" t="s">
        <v>1022</v>
      </c>
      <c r="J16" s="8" t="s">
        <v>7</v>
      </c>
      <c r="K16" s="8"/>
      <c r="L16" s="9" t="s">
        <v>60</v>
      </c>
      <c r="M16" s="9" t="s">
        <v>60</v>
      </c>
      <c r="N16" s="8"/>
      <c r="O16" s="10"/>
      <c r="P16" s="10"/>
      <c r="Q16" s="10"/>
    </row>
    <row r="17" customFormat="false" ht="35.05" hidden="false" customHeight="false" outlineLevel="0" collapsed="false">
      <c r="A17" s="8" t="s">
        <v>1023</v>
      </c>
      <c r="B17" s="8" t="s">
        <v>1024</v>
      </c>
      <c r="C17" s="8" t="s">
        <v>30</v>
      </c>
      <c r="D17" s="8" t="s">
        <v>54</v>
      </c>
      <c r="E17" s="8" t="s">
        <v>1025</v>
      </c>
      <c r="F17" s="8" t="s">
        <v>1026</v>
      </c>
      <c r="G17" s="8" t="s">
        <v>1027</v>
      </c>
      <c r="H17" s="8"/>
      <c r="I17" s="8" t="s">
        <v>1028</v>
      </c>
      <c r="J17" s="8" t="s">
        <v>8</v>
      </c>
      <c r="K17" s="8" t="s">
        <v>97</v>
      </c>
      <c r="L17" s="8"/>
      <c r="M17" s="8"/>
      <c r="N17" s="8"/>
      <c r="O17" s="10"/>
      <c r="P17" s="10"/>
      <c r="Q17" s="10"/>
    </row>
    <row r="18" customFormat="false" ht="23.85" hidden="false" customHeight="false" outlineLevel="0" collapsed="false">
      <c r="A18" s="8" t="s">
        <v>1029</v>
      </c>
      <c r="B18" s="8" t="s">
        <v>1024</v>
      </c>
      <c r="C18" s="8" t="s">
        <v>34</v>
      </c>
      <c r="D18" s="8" t="s">
        <v>54</v>
      </c>
      <c r="E18" s="8" t="s">
        <v>1030</v>
      </c>
      <c r="F18" s="8" t="s">
        <v>631</v>
      </c>
      <c r="G18" s="8" t="s">
        <v>1031</v>
      </c>
      <c r="H18" s="8"/>
      <c r="I18" s="8" t="s">
        <v>1032</v>
      </c>
      <c r="J18" s="8" t="s">
        <v>8</v>
      </c>
      <c r="K18" s="8" t="s">
        <v>97</v>
      </c>
      <c r="L18" s="8"/>
      <c r="M18" s="8"/>
      <c r="N18" s="8"/>
      <c r="O18" s="10"/>
      <c r="P18" s="10"/>
      <c r="Q18" s="10"/>
    </row>
    <row r="19" customFormat="false" ht="23.85" hidden="false" customHeight="false" outlineLevel="0" collapsed="false">
      <c r="A19" s="8" t="s">
        <v>1033</v>
      </c>
      <c r="B19" s="8" t="s">
        <v>1024</v>
      </c>
      <c r="C19" s="8" t="s">
        <v>30</v>
      </c>
      <c r="D19" s="8" t="s">
        <v>77</v>
      </c>
      <c r="E19" s="8" t="s">
        <v>1034</v>
      </c>
      <c r="F19" s="8" t="s">
        <v>1035</v>
      </c>
      <c r="G19" s="8" t="s">
        <v>1036</v>
      </c>
      <c r="H19" s="8"/>
      <c r="I19" s="8" t="s">
        <v>1037</v>
      </c>
      <c r="J19" s="8" t="s">
        <v>8</v>
      </c>
      <c r="K19" s="8" t="s">
        <v>97</v>
      </c>
      <c r="L19" s="8"/>
      <c r="M19" s="8"/>
      <c r="N19" s="8"/>
      <c r="O19" s="10"/>
      <c r="P19" s="10"/>
      <c r="Q19" s="10"/>
    </row>
    <row r="20" customFormat="false" ht="23.85" hidden="false" customHeight="false" outlineLevel="0" collapsed="false">
      <c r="A20" s="8" t="s">
        <v>1038</v>
      </c>
      <c r="B20" s="8" t="s">
        <v>1024</v>
      </c>
      <c r="C20" s="8" t="s">
        <v>29</v>
      </c>
      <c r="D20" s="8" t="s">
        <v>77</v>
      </c>
      <c r="E20" s="8" t="s">
        <v>1039</v>
      </c>
      <c r="F20" s="8" t="s">
        <v>1040</v>
      </c>
      <c r="G20" s="8" t="s">
        <v>1041</v>
      </c>
      <c r="H20" s="8"/>
      <c r="I20" s="8" t="s">
        <v>1042</v>
      </c>
      <c r="J20" s="8" t="s">
        <v>8</v>
      </c>
      <c r="K20" s="8" t="s">
        <v>91</v>
      </c>
      <c r="L20" s="8"/>
      <c r="M20" s="8"/>
      <c r="N20" s="8"/>
      <c r="O20" s="10"/>
      <c r="P20" s="10"/>
      <c r="Q20" s="10"/>
    </row>
    <row r="21" customFormat="false" ht="35.05" hidden="false" customHeight="false" outlineLevel="0" collapsed="false">
      <c r="A21" s="8" t="s">
        <v>1043</v>
      </c>
      <c r="B21" s="8" t="s">
        <v>1024</v>
      </c>
      <c r="C21" s="8" t="s">
        <v>35</v>
      </c>
      <c r="D21" s="8" t="s">
        <v>77</v>
      </c>
      <c r="E21" s="8" t="s">
        <v>1044</v>
      </c>
      <c r="F21" s="8" t="s">
        <v>1026</v>
      </c>
      <c r="G21" s="8" t="s">
        <v>1045</v>
      </c>
      <c r="H21" s="8"/>
      <c r="I21" s="8" t="s">
        <v>1046</v>
      </c>
      <c r="J21" s="8" t="s">
        <v>8</v>
      </c>
      <c r="K21" s="8" t="s">
        <v>97</v>
      </c>
      <c r="L21" s="8"/>
      <c r="M21" s="8"/>
      <c r="N21" s="8"/>
      <c r="O21" s="10"/>
      <c r="P21" s="10"/>
      <c r="Q21" s="10"/>
    </row>
    <row r="22" customFormat="false" ht="23.85" hidden="false" customHeight="false" outlineLevel="0" collapsed="false">
      <c r="A22" s="8" t="s">
        <v>1047</v>
      </c>
      <c r="B22" s="8" t="s">
        <v>1024</v>
      </c>
      <c r="C22" s="8" t="s">
        <v>35</v>
      </c>
      <c r="D22" s="8" t="s">
        <v>109</v>
      </c>
      <c r="E22" s="8" t="s">
        <v>1048</v>
      </c>
      <c r="F22" s="8" t="s">
        <v>1035</v>
      </c>
      <c r="G22" s="8" t="s">
        <v>1049</v>
      </c>
      <c r="H22" s="8"/>
      <c r="I22" s="8" t="s">
        <v>1050</v>
      </c>
      <c r="J22" s="8" t="s">
        <v>7</v>
      </c>
      <c r="K22" s="8"/>
      <c r="L22" s="9" t="s">
        <v>60</v>
      </c>
      <c r="M22" s="9" t="s">
        <v>60</v>
      </c>
      <c r="N22" s="8"/>
      <c r="O22" s="10"/>
      <c r="P22" s="10"/>
      <c r="Q22" s="10"/>
    </row>
    <row r="23" customFormat="false" ht="35.05" hidden="false" customHeight="false" outlineLevel="0" collapsed="false">
      <c r="A23" s="8" t="s">
        <v>1051</v>
      </c>
      <c r="B23" s="8" t="s">
        <v>1024</v>
      </c>
      <c r="C23" s="8" t="s">
        <v>35</v>
      </c>
      <c r="D23" s="8" t="s">
        <v>54</v>
      </c>
      <c r="E23" s="8" t="s">
        <v>1052</v>
      </c>
      <c r="F23" s="8" t="s">
        <v>1053</v>
      </c>
      <c r="G23" s="8" t="s">
        <v>1054</v>
      </c>
      <c r="H23" s="8"/>
      <c r="I23" s="8" t="s">
        <v>1055</v>
      </c>
      <c r="J23" s="8" t="s">
        <v>8</v>
      </c>
      <c r="K23" s="8" t="s">
        <v>461</v>
      </c>
      <c r="L23" s="8"/>
      <c r="M23" s="8"/>
      <c r="N23" s="8"/>
      <c r="O23" s="10"/>
      <c r="P23" s="10"/>
      <c r="Q23" s="10"/>
    </row>
    <row r="24" customFormat="false" ht="35.05" hidden="false" customHeight="false" outlineLevel="0" collapsed="false">
      <c r="A24" s="8" t="s">
        <v>1056</v>
      </c>
      <c r="B24" s="8" t="s">
        <v>1024</v>
      </c>
      <c r="C24" s="8" t="s">
        <v>32</v>
      </c>
      <c r="D24" s="8" t="s">
        <v>77</v>
      </c>
      <c r="E24" s="8" t="s">
        <v>1057</v>
      </c>
      <c r="F24" s="8" t="s">
        <v>1058</v>
      </c>
      <c r="G24" s="8" t="s">
        <v>1059</v>
      </c>
      <c r="H24" s="8"/>
      <c r="I24" s="8" t="s">
        <v>1060</v>
      </c>
      <c r="J24" s="8" t="s">
        <v>8</v>
      </c>
      <c r="K24" s="8" t="s">
        <v>461</v>
      </c>
      <c r="L24" s="8"/>
      <c r="M24" s="8"/>
      <c r="N24" s="8"/>
      <c r="O24" s="10"/>
      <c r="P24" s="10"/>
      <c r="Q24" s="10"/>
    </row>
    <row r="25" customFormat="false" ht="35.05" hidden="false" customHeight="false" outlineLevel="0" collapsed="false">
      <c r="A25" s="8" t="s">
        <v>1061</v>
      </c>
      <c r="B25" s="8" t="s">
        <v>1024</v>
      </c>
      <c r="C25" s="8" t="s">
        <v>35</v>
      </c>
      <c r="D25" s="8" t="s">
        <v>54</v>
      </c>
      <c r="E25" s="8" t="s">
        <v>1062</v>
      </c>
      <c r="F25" s="8" t="s">
        <v>1063</v>
      </c>
      <c r="G25" s="8" t="s">
        <v>1064</v>
      </c>
      <c r="H25" s="8"/>
      <c r="I25" s="8" t="s">
        <v>1065</v>
      </c>
      <c r="J25" s="8" t="s">
        <v>8</v>
      </c>
      <c r="K25" s="8" t="s">
        <v>97</v>
      </c>
      <c r="L25" s="8"/>
      <c r="M25" s="8"/>
      <c r="N25" s="8"/>
      <c r="O25" s="10"/>
      <c r="P25" s="10"/>
      <c r="Q25" s="10"/>
    </row>
    <row r="26" customFormat="false" ht="23.85" hidden="false" customHeight="false" outlineLevel="0" collapsed="false">
      <c r="A26" s="8" t="s">
        <v>1066</v>
      </c>
      <c r="B26" s="8" t="s">
        <v>1067</v>
      </c>
      <c r="C26" s="8" t="s">
        <v>35</v>
      </c>
      <c r="D26" s="8" t="s">
        <v>54</v>
      </c>
      <c r="E26" s="8" t="s">
        <v>1068</v>
      </c>
      <c r="F26" s="8" t="s">
        <v>1069</v>
      </c>
      <c r="G26" s="8" t="s">
        <v>1070</v>
      </c>
      <c r="H26" s="8"/>
      <c r="I26" s="8" t="s">
        <v>1071</v>
      </c>
      <c r="J26" s="8" t="s">
        <v>8</v>
      </c>
      <c r="K26" s="8" t="s">
        <v>97</v>
      </c>
      <c r="L26" s="8"/>
      <c r="M26" s="8"/>
      <c r="N26" s="8"/>
      <c r="O26" s="10"/>
      <c r="P26" s="10"/>
      <c r="Q26" s="10"/>
    </row>
    <row r="27" customFormat="false" ht="35.05" hidden="false" customHeight="false" outlineLevel="0" collapsed="false">
      <c r="A27" s="8" t="s">
        <v>1072</v>
      </c>
      <c r="B27" s="8" t="s">
        <v>1067</v>
      </c>
      <c r="C27" s="8" t="s">
        <v>32</v>
      </c>
      <c r="D27" s="8" t="s">
        <v>77</v>
      </c>
      <c r="E27" s="8" t="s">
        <v>1073</v>
      </c>
      <c r="F27" s="8" t="s">
        <v>1074</v>
      </c>
      <c r="G27" s="8" t="s">
        <v>1075</v>
      </c>
      <c r="H27" s="8"/>
      <c r="I27" s="8" t="s">
        <v>1076</v>
      </c>
      <c r="J27" s="8" t="s">
        <v>8</v>
      </c>
      <c r="K27" s="8" t="s">
        <v>461</v>
      </c>
      <c r="L27" s="8"/>
      <c r="M27" s="8"/>
      <c r="N27" s="8"/>
      <c r="O27" s="10"/>
      <c r="P27" s="10"/>
      <c r="Q27" s="10"/>
    </row>
    <row r="28" customFormat="false" ht="35.05" hidden="false" customHeight="false" outlineLevel="0" collapsed="false">
      <c r="A28" s="8" t="s">
        <v>1077</v>
      </c>
      <c r="B28" s="8" t="s">
        <v>1067</v>
      </c>
      <c r="C28" s="8" t="s">
        <v>35</v>
      </c>
      <c r="D28" s="8" t="s">
        <v>77</v>
      </c>
      <c r="E28" s="8" t="s">
        <v>1078</v>
      </c>
      <c r="F28" s="8" t="s">
        <v>1079</v>
      </c>
      <c r="G28" s="8" t="s">
        <v>1080</v>
      </c>
      <c r="H28" s="8"/>
      <c r="I28" s="8" t="s">
        <v>1081</v>
      </c>
      <c r="J28" s="8" t="s">
        <v>8</v>
      </c>
      <c r="K28" s="8" t="s">
        <v>528</v>
      </c>
      <c r="L28" s="8"/>
      <c r="M28" s="8"/>
      <c r="N28" s="8"/>
      <c r="O28" s="10"/>
      <c r="P28" s="10"/>
      <c r="Q28" s="10"/>
    </row>
    <row r="29" customFormat="false" ht="35.05" hidden="false" customHeight="false" outlineLevel="0" collapsed="false">
      <c r="A29" s="8" t="s">
        <v>1082</v>
      </c>
      <c r="B29" s="8" t="s">
        <v>1067</v>
      </c>
      <c r="C29" s="8" t="s">
        <v>29</v>
      </c>
      <c r="D29" s="8" t="s">
        <v>77</v>
      </c>
      <c r="E29" s="8" t="s">
        <v>1083</v>
      </c>
      <c r="F29" s="8" t="s">
        <v>1084</v>
      </c>
      <c r="G29" s="8" t="s">
        <v>1085</v>
      </c>
      <c r="H29" s="8"/>
      <c r="I29" s="8" t="s">
        <v>1086</v>
      </c>
      <c r="J29" s="8" t="s">
        <v>8</v>
      </c>
      <c r="K29" s="8" t="s">
        <v>461</v>
      </c>
      <c r="L29" s="8"/>
      <c r="M29" s="8"/>
      <c r="N29" s="8"/>
      <c r="O29" s="10"/>
      <c r="P29" s="10"/>
      <c r="Q29" s="10"/>
    </row>
    <row r="30" customFormat="false" ht="35.05" hidden="false" customHeight="false" outlineLevel="0" collapsed="false">
      <c r="A30" s="8" t="s">
        <v>1087</v>
      </c>
      <c r="B30" s="8" t="s">
        <v>1067</v>
      </c>
      <c r="C30" s="8" t="s">
        <v>31</v>
      </c>
      <c r="D30" s="8" t="s">
        <v>77</v>
      </c>
      <c r="E30" s="8" t="s">
        <v>1088</v>
      </c>
      <c r="F30" s="8" t="s">
        <v>1089</v>
      </c>
      <c r="G30" s="8" t="s">
        <v>1090</v>
      </c>
      <c r="H30" s="8"/>
      <c r="I30" s="8" t="s">
        <v>1091</v>
      </c>
      <c r="J30" s="8" t="s">
        <v>8</v>
      </c>
      <c r="K30" s="8" t="s">
        <v>461</v>
      </c>
      <c r="L30" s="8"/>
      <c r="M30" s="8"/>
      <c r="N30" s="8"/>
      <c r="O30" s="10"/>
      <c r="P30" s="10"/>
      <c r="Q30" s="10"/>
    </row>
    <row r="31" customFormat="false" ht="35.05" hidden="false" customHeight="false" outlineLevel="0" collapsed="false">
      <c r="A31" s="8" t="s">
        <v>1092</v>
      </c>
      <c r="B31" s="8" t="s">
        <v>1067</v>
      </c>
      <c r="C31" s="8" t="s">
        <v>32</v>
      </c>
      <c r="D31" s="8" t="s">
        <v>77</v>
      </c>
      <c r="E31" s="8" t="s">
        <v>1093</v>
      </c>
      <c r="F31" s="8" t="s">
        <v>1094</v>
      </c>
      <c r="G31" s="8" t="s">
        <v>1095</v>
      </c>
      <c r="H31" s="8"/>
      <c r="I31" s="8" t="s">
        <v>1096</v>
      </c>
      <c r="J31" s="8" t="s">
        <v>8</v>
      </c>
      <c r="K31" s="8" t="s">
        <v>461</v>
      </c>
      <c r="L31" s="8"/>
      <c r="M31" s="8"/>
      <c r="N31" s="8"/>
      <c r="O31" s="10"/>
      <c r="P31" s="10"/>
      <c r="Q31" s="10"/>
    </row>
    <row r="32" customFormat="false" ht="35.05" hidden="false" customHeight="false" outlineLevel="0" collapsed="false">
      <c r="A32" s="8" t="s">
        <v>1097</v>
      </c>
      <c r="B32" s="8" t="s">
        <v>1067</v>
      </c>
      <c r="C32" s="8" t="s">
        <v>31</v>
      </c>
      <c r="D32" s="8" t="s">
        <v>77</v>
      </c>
      <c r="E32" s="8" t="s">
        <v>1098</v>
      </c>
      <c r="F32" s="8" t="s">
        <v>1099</v>
      </c>
      <c r="G32" s="8" t="s">
        <v>1100</v>
      </c>
      <c r="H32" s="8"/>
      <c r="I32" s="8" t="s">
        <v>1101</v>
      </c>
      <c r="J32" s="8" t="s">
        <v>8</v>
      </c>
      <c r="K32" s="8" t="s">
        <v>461</v>
      </c>
      <c r="L32" s="8"/>
      <c r="M32" s="8"/>
      <c r="N32" s="8"/>
      <c r="O32" s="10"/>
      <c r="P32" s="10"/>
      <c r="Q32" s="10"/>
    </row>
    <row r="33" customFormat="false" ht="35.05" hidden="false" customHeight="false" outlineLevel="0" collapsed="false">
      <c r="A33" s="8" t="s">
        <v>1102</v>
      </c>
      <c r="B33" s="8" t="s">
        <v>1067</v>
      </c>
      <c r="C33" s="8" t="s">
        <v>35</v>
      </c>
      <c r="D33" s="8" t="s">
        <v>109</v>
      </c>
      <c r="E33" s="8" t="s">
        <v>1103</v>
      </c>
      <c r="F33" s="8" t="s">
        <v>1089</v>
      </c>
      <c r="G33" s="8" t="s">
        <v>1104</v>
      </c>
      <c r="H33" s="8"/>
      <c r="I33" s="8" t="s">
        <v>1105</v>
      </c>
      <c r="J33" s="8" t="s">
        <v>8</v>
      </c>
      <c r="K33" s="8" t="s">
        <v>528</v>
      </c>
      <c r="L33" s="8"/>
      <c r="M33" s="8"/>
      <c r="N33" s="8"/>
      <c r="O33" s="10"/>
      <c r="P33" s="10"/>
      <c r="Q33" s="10"/>
    </row>
    <row r="34" customFormat="false" ht="23.85" hidden="false" customHeight="false" outlineLevel="0" collapsed="false">
      <c r="A34" s="8" t="s">
        <v>1106</v>
      </c>
      <c r="B34" s="8" t="s">
        <v>1067</v>
      </c>
      <c r="C34" s="8" t="s">
        <v>33</v>
      </c>
      <c r="D34" s="8" t="s">
        <v>77</v>
      </c>
      <c r="E34" s="8" t="s">
        <v>1107</v>
      </c>
      <c r="F34" s="8" t="s">
        <v>1079</v>
      </c>
      <c r="G34" s="8" t="s">
        <v>1108</v>
      </c>
      <c r="H34" s="8"/>
      <c r="I34" s="8" t="s">
        <v>1109</v>
      </c>
      <c r="J34" s="8" t="s">
        <v>8</v>
      </c>
      <c r="K34" s="8" t="s">
        <v>97</v>
      </c>
      <c r="L34" s="8"/>
      <c r="M34" s="8"/>
      <c r="N34" s="8"/>
      <c r="O34" s="10"/>
      <c r="P34" s="10"/>
      <c r="Q34" s="10"/>
    </row>
    <row r="35" customFormat="false" ht="35.05" hidden="false" customHeight="false" outlineLevel="0" collapsed="false">
      <c r="A35" s="8" t="s">
        <v>1110</v>
      </c>
      <c r="B35" s="8" t="s">
        <v>1111</v>
      </c>
      <c r="C35" s="8" t="s">
        <v>29</v>
      </c>
      <c r="D35" s="8" t="s">
        <v>77</v>
      </c>
      <c r="E35" s="8" t="s">
        <v>1112</v>
      </c>
      <c r="F35" s="8" t="s">
        <v>1113</v>
      </c>
      <c r="G35" s="8" t="s">
        <v>1114</v>
      </c>
      <c r="H35" s="8"/>
      <c r="I35" s="8" t="s">
        <v>1115</v>
      </c>
      <c r="J35" s="8" t="s">
        <v>8</v>
      </c>
      <c r="K35" s="8" t="s">
        <v>461</v>
      </c>
      <c r="L35" s="8"/>
      <c r="M35" s="8"/>
      <c r="N35" s="8"/>
      <c r="O35" s="10"/>
      <c r="P35" s="10"/>
      <c r="Q35" s="10"/>
    </row>
    <row r="36" customFormat="false" ht="23.85" hidden="false" customHeight="false" outlineLevel="0" collapsed="false">
      <c r="A36" s="8" t="s">
        <v>1116</v>
      </c>
      <c r="B36" s="8" t="s">
        <v>1111</v>
      </c>
      <c r="C36" s="8" t="s">
        <v>34</v>
      </c>
      <c r="D36" s="8" t="s">
        <v>77</v>
      </c>
      <c r="E36" s="8" t="s">
        <v>1117</v>
      </c>
      <c r="F36" s="8" t="s">
        <v>1118</v>
      </c>
      <c r="G36" s="8" t="s">
        <v>1119</v>
      </c>
      <c r="H36" s="8"/>
      <c r="I36" s="8" t="s">
        <v>1120</v>
      </c>
      <c r="J36" s="8" t="s">
        <v>8</v>
      </c>
      <c r="K36" s="8" t="s">
        <v>97</v>
      </c>
      <c r="L36" s="8"/>
      <c r="M36" s="8"/>
      <c r="N36" s="8"/>
      <c r="O36" s="10"/>
      <c r="P36" s="10"/>
      <c r="Q36" s="10"/>
    </row>
    <row r="37" customFormat="false" ht="23.85" hidden="false" customHeight="false" outlineLevel="0" collapsed="false">
      <c r="A37" s="8" t="s">
        <v>1121</v>
      </c>
      <c r="B37" s="8" t="s">
        <v>1111</v>
      </c>
      <c r="C37" s="8" t="s">
        <v>35</v>
      </c>
      <c r="D37" s="8" t="s">
        <v>77</v>
      </c>
      <c r="E37" s="8" t="s">
        <v>1122</v>
      </c>
      <c r="F37" s="8" t="s">
        <v>1123</v>
      </c>
      <c r="G37" s="8" t="s">
        <v>1124</v>
      </c>
      <c r="H37" s="8"/>
      <c r="I37" s="8" t="s">
        <v>1125</v>
      </c>
      <c r="J37" s="8" t="s">
        <v>8</v>
      </c>
      <c r="K37" s="8" t="s">
        <v>91</v>
      </c>
      <c r="L37" s="8"/>
      <c r="M37" s="8"/>
      <c r="N37" s="8"/>
      <c r="O37" s="10"/>
      <c r="P37" s="10"/>
      <c r="Q37" s="10"/>
    </row>
    <row r="38" customFormat="false" ht="23.85" hidden="false" customHeight="false" outlineLevel="0" collapsed="false">
      <c r="A38" s="8" t="s">
        <v>1126</v>
      </c>
      <c r="B38" s="8" t="s">
        <v>1111</v>
      </c>
      <c r="C38" s="8" t="s">
        <v>29</v>
      </c>
      <c r="D38" s="8" t="s">
        <v>77</v>
      </c>
      <c r="E38" s="8" t="s">
        <v>1127</v>
      </c>
      <c r="F38" s="8" t="s">
        <v>1040</v>
      </c>
      <c r="G38" s="8" t="s">
        <v>1128</v>
      </c>
      <c r="H38" s="8"/>
      <c r="I38" s="8" t="s">
        <v>1129</v>
      </c>
      <c r="J38" s="8" t="s">
        <v>8</v>
      </c>
      <c r="K38" s="8" t="s">
        <v>91</v>
      </c>
      <c r="L38" s="8"/>
      <c r="M38" s="8"/>
      <c r="N38" s="8"/>
      <c r="O38" s="10"/>
      <c r="P38" s="10"/>
      <c r="Q38" s="10"/>
    </row>
    <row r="39" customFormat="false" ht="23.85" hidden="false" customHeight="false" outlineLevel="0" collapsed="false">
      <c r="A39" s="8" t="s">
        <v>1130</v>
      </c>
      <c r="B39" s="8" t="s">
        <v>1111</v>
      </c>
      <c r="C39" s="8" t="s">
        <v>33</v>
      </c>
      <c r="D39" s="8" t="s">
        <v>109</v>
      </c>
      <c r="E39" s="8" t="s">
        <v>1131</v>
      </c>
      <c r="F39" s="8" t="s">
        <v>1132</v>
      </c>
      <c r="G39" s="8" t="s">
        <v>1133</v>
      </c>
      <c r="H39" s="8"/>
      <c r="I39" s="8" t="s">
        <v>1134</v>
      </c>
      <c r="J39" s="8" t="s">
        <v>7</v>
      </c>
      <c r="K39" s="8"/>
      <c r="L39" s="9" t="s">
        <v>60</v>
      </c>
      <c r="M39" s="9" t="s">
        <v>60</v>
      </c>
      <c r="N39" s="8"/>
      <c r="O39" s="10"/>
      <c r="P39" s="10"/>
      <c r="Q39" s="10"/>
    </row>
    <row r="40" customFormat="false" ht="35.05" hidden="false" customHeight="false" outlineLevel="0" collapsed="false">
      <c r="A40" s="8" t="s">
        <v>1135</v>
      </c>
      <c r="B40" s="8" t="s">
        <v>1111</v>
      </c>
      <c r="C40" s="8" t="s">
        <v>35</v>
      </c>
      <c r="D40" s="8" t="s">
        <v>54</v>
      </c>
      <c r="E40" s="8" t="s">
        <v>1136</v>
      </c>
      <c r="F40" s="8" t="s">
        <v>1137</v>
      </c>
      <c r="G40" s="8" t="s">
        <v>1138</v>
      </c>
      <c r="H40" s="8"/>
      <c r="I40" s="8" t="s">
        <v>1139</v>
      </c>
      <c r="J40" s="8" t="s">
        <v>8</v>
      </c>
      <c r="K40" s="8" t="s">
        <v>945</v>
      </c>
      <c r="L40" s="8"/>
      <c r="M40" s="8"/>
      <c r="N40" s="8"/>
      <c r="O40" s="10"/>
      <c r="P40" s="10"/>
      <c r="Q40" s="10"/>
    </row>
    <row r="41" customFormat="false" ht="23.85" hidden="false" customHeight="false" outlineLevel="0" collapsed="false">
      <c r="A41" s="8" t="s">
        <v>1140</v>
      </c>
      <c r="B41" s="8" t="s">
        <v>1111</v>
      </c>
      <c r="C41" s="8" t="s">
        <v>31</v>
      </c>
      <c r="D41" s="8" t="s">
        <v>77</v>
      </c>
      <c r="E41" s="8" t="s">
        <v>1141</v>
      </c>
      <c r="F41" s="8" t="s">
        <v>1142</v>
      </c>
      <c r="G41" s="8" t="s">
        <v>1143</v>
      </c>
      <c r="H41" s="8"/>
      <c r="I41" s="8" t="s">
        <v>1144</v>
      </c>
      <c r="J41" s="8" t="s">
        <v>8</v>
      </c>
      <c r="K41" s="8" t="s">
        <v>945</v>
      </c>
      <c r="L41" s="8"/>
      <c r="M41" s="8"/>
      <c r="N41" s="8"/>
      <c r="O41" s="10"/>
      <c r="P41" s="10"/>
      <c r="Q41" s="10"/>
    </row>
    <row r="42" customFormat="false" ht="23.85" hidden="false" customHeight="false" outlineLevel="0" collapsed="false">
      <c r="A42" s="8" t="s">
        <v>1145</v>
      </c>
      <c r="B42" s="8" t="s">
        <v>1111</v>
      </c>
      <c r="C42" s="8" t="s">
        <v>32</v>
      </c>
      <c r="D42" s="8" t="s">
        <v>77</v>
      </c>
      <c r="E42" s="8" t="s">
        <v>1146</v>
      </c>
      <c r="F42" s="8" t="s">
        <v>1147</v>
      </c>
      <c r="G42" s="8" t="s">
        <v>1148</v>
      </c>
      <c r="H42" s="8"/>
      <c r="I42" s="8" t="s">
        <v>1149</v>
      </c>
      <c r="J42" s="8" t="s">
        <v>8</v>
      </c>
      <c r="K42" s="8" t="s">
        <v>945</v>
      </c>
      <c r="L42" s="8"/>
      <c r="M42" s="8"/>
      <c r="N42" s="8"/>
      <c r="O42" s="10"/>
      <c r="P42" s="10"/>
      <c r="Q42" s="10"/>
    </row>
    <row r="43" customFormat="false" ht="23.85" hidden="false" customHeight="false" outlineLevel="0" collapsed="false">
      <c r="A43" s="8" t="s">
        <v>1150</v>
      </c>
      <c r="B43" s="8" t="s">
        <v>1111</v>
      </c>
      <c r="C43" s="8" t="s">
        <v>35</v>
      </c>
      <c r="D43" s="8" t="s">
        <v>109</v>
      </c>
      <c r="E43" s="8" t="s">
        <v>1151</v>
      </c>
      <c r="F43" s="8" t="s">
        <v>1152</v>
      </c>
      <c r="G43" s="8" t="s">
        <v>1153</v>
      </c>
      <c r="H43" s="8"/>
      <c r="I43" s="8" t="s">
        <v>1154</v>
      </c>
      <c r="J43" s="8" t="s">
        <v>7</v>
      </c>
      <c r="K43" s="8"/>
      <c r="L43" s="9" t="s">
        <v>60</v>
      </c>
      <c r="M43" s="9" t="s">
        <v>60</v>
      </c>
      <c r="N43" s="8"/>
      <c r="O43" s="10"/>
      <c r="P43" s="10"/>
      <c r="Q43" s="10"/>
    </row>
    <row r="44" customFormat="false" ht="23.85" hidden="false" customHeight="false" outlineLevel="0" collapsed="false">
      <c r="A44" s="8" t="s">
        <v>1155</v>
      </c>
      <c r="B44" s="8" t="s">
        <v>1156</v>
      </c>
      <c r="C44" s="8" t="s">
        <v>35</v>
      </c>
      <c r="D44" s="8" t="s">
        <v>54</v>
      </c>
      <c r="E44" s="8" t="s">
        <v>1157</v>
      </c>
      <c r="F44" s="8" t="s">
        <v>1158</v>
      </c>
      <c r="G44" s="8" t="s">
        <v>1159</v>
      </c>
      <c r="H44" s="8"/>
      <c r="I44" s="8" t="s">
        <v>1160</v>
      </c>
      <c r="J44" s="8" t="s">
        <v>8</v>
      </c>
      <c r="K44" s="8" t="s">
        <v>355</v>
      </c>
      <c r="L44" s="8"/>
      <c r="M44" s="8"/>
      <c r="N44" s="8"/>
      <c r="O44" s="10"/>
      <c r="P44" s="10"/>
      <c r="Q44" s="10"/>
    </row>
    <row r="45" customFormat="false" ht="23.85" hidden="false" customHeight="false" outlineLevel="0" collapsed="false">
      <c r="A45" s="8" t="s">
        <v>1161</v>
      </c>
      <c r="B45" s="8" t="s">
        <v>1156</v>
      </c>
      <c r="C45" s="8" t="s">
        <v>31</v>
      </c>
      <c r="D45" s="8" t="s">
        <v>77</v>
      </c>
      <c r="E45" s="8" t="s">
        <v>1162</v>
      </c>
      <c r="F45" s="8" t="s">
        <v>1163</v>
      </c>
      <c r="G45" s="8" t="s">
        <v>1164</v>
      </c>
      <c r="H45" s="8"/>
      <c r="I45" s="8" t="s">
        <v>1165</v>
      </c>
      <c r="J45" s="8" t="s">
        <v>8</v>
      </c>
      <c r="K45" s="8" t="s">
        <v>355</v>
      </c>
      <c r="L45" s="8"/>
      <c r="M45" s="8"/>
      <c r="N45" s="8"/>
      <c r="O45" s="10"/>
      <c r="P45" s="10"/>
      <c r="Q45" s="10"/>
    </row>
    <row r="46" customFormat="false" ht="23.85" hidden="false" customHeight="false" outlineLevel="0" collapsed="false">
      <c r="A46" s="8" t="s">
        <v>1166</v>
      </c>
      <c r="B46" s="8" t="s">
        <v>1156</v>
      </c>
      <c r="C46" s="8" t="s">
        <v>34</v>
      </c>
      <c r="D46" s="8" t="s">
        <v>54</v>
      </c>
      <c r="E46" s="8" t="s">
        <v>1167</v>
      </c>
      <c r="F46" s="8" t="s">
        <v>1168</v>
      </c>
      <c r="G46" s="8" t="s">
        <v>1169</v>
      </c>
      <c r="H46" s="8"/>
      <c r="I46" s="8" t="s">
        <v>1170</v>
      </c>
      <c r="J46" s="8" t="s">
        <v>8</v>
      </c>
      <c r="K46" s="8" t="s">
        <v>97</v>
      </c>
      <c r="L46" s="8"/>
      <c r="M46" s="8"/>
      <c r="N46" s="8"/>
      <c r="O46" s="10"/>
      <c r="P46" s="10"/>
      <c r="Q46" s="10"/>
    </row>
    <row r="47" customFormat="false" ht="23.85" hidden="false" customHeight="false" outlineLevel="0" collapsed="false">
      <c r="A47" s="8" t="s">
        <v>1171</v>
      </c>
      <c r="B47" s="8" t="s">
        <v>1156</v>
      </c>
      <c r="C47" s="8" t="s">
        <v>34</v>
      </c>
      <c r="D47" s="8" t="s">
        <v>77</v>
      </c>
      <c r="E47" s="8" t="s">
        <v>1172</v>
      </c>
      <c r="F47" s="8" t="s">
        <v>1173</v>
      </c>
      <c r="G47" s="8" t="s">
        <v>1174</v>
      </c>
      <c r="H47" s="8"/>
      <c r="I47" s="8" t="s">
        <v>1175</v>
      </c>
      <c r="J47" s="8" t="s">
        <v>8</v>
      </c>
      <c r="K47" s="8" t="s">
        <v>97</v>
      </c>
      <c r="L47" s="8"/>
      <c r="M47" s="8"/>
      <c r="N47" s="8"/>
      <c r="O47" s="10"/>
      <c r="P47" s="10"/>
      <c r="Q47" s="10"/>
    </row>
    <row r="48" customFormat="false" ht="35.05" hidden="false" customHeight="false" outlineLevel="0" collapsed="false">
      <c r="A48" s="8" t="s">
        <v>1176</v>
      </c>
      <c r="B48" s="8" t="s">
        <v>1156</v>
      </c>
      <c r="C48" s="8" t="s">
        <v>35</v>
      </c>
      <c r="D48" s="8" t="s">
        <v>77</v>
      </c>
      <c r="E48" s="8" t="s">
        <v>1177</v>
      </c>
      <c r="F48" s="8" t="s">
        <v>1168</v>
      </c>
      <c r="G48" s="8" t="s">
        <v>1178</v>
      </c>
      <c r="H48" s="8"/>
      <c r="I48" s="8" t="s">
        <v>1179</v>
      </c>
      <c r="J48" s="8" t="s">
        <v>8</v>
      </c>
      <c r="K48" s="8" t="s">
        <v>691</v>
      </c>
      <c r="L48" s="8"/>
      <c r="M48" s="8"/>
      <c r="N48" s="8"/>
      <c r="O48" s="10"/>
      <c r="P48" s="10"/>
      <c r="Q48" s="10"/>
    </row>
    <row r="49" customFormat="false" ht="23.85" hidden="false" customHeight="false" outlineLevel="0" collapsed="false">
      <c r="A49" s="8" t="s">
        <v>1180</v>
      </c>
      <c r="B49" s="8" t="s">
        <v>1156</v>
      </c>
      <c r="C49" s="8" t="s">
        <v>35</v>
      </c>
      <c r="D49" s="8" t="s">
        <v>77</v>
      </c>
      <c r="E49" s="8" t="s">
        <v>1181</v>
      </c>
      <c r="F49" s="8" t="s">
        <v>1182</v>
      </c>
      <c r="G49" s="8" t="s">
        <v>1183</v>
      </c>
      <c r="H49" s="8"/>
      <c r="I49" s="8" t="s">
        <v>1184</v>
      </c>
      <c r="J49" s="8" t="s">
        <v>8</v>
      </c>
      <c r="K49" s="8" t="s">
        <v>493</v>
      </c>
      <c r="L49" s="8"/>
      <c r="M49" s="8"/>
      <c r="N49" s="8"/>
      <c r="O49" s="10"/>
      <c r="P49" s="10"/>
      <c r="Q49" s="10"/>
    </row>
    <row r="50" customFormat="false" ht="35.05" hidden="false" customHeight="false" outlineLevel="0" collapsed="false">
      <c r="A50" s="8" t="s">
        <v>1185</v>
      </c>
      <c r="B50" s="8" t="s">
        <v>1186</v>
      </c>
      <c r="C50" s="8" t="s">
        <v>35</v>
      </c>
      <c r="D50" s="8" t="s">
        <v>54</v>
      </c>
      <c r="E50" s="8" t="s">
        <v>1187</v>
      </c>
      <c r="F50" s="8" t="s">
        <v>1188</v>
      </c>
      <c r="G50" s="8" t="s">
        <v>1189</v>
      </c>
      <c r="H50" s="8"/>
      <c r="I50" s="8" t="s">
        <v>1190</v>
      </c>
      <c r="J50" s="8" t="s">
        <v>8</v>
      </c>
      <c r="K50" s="8" t="s">
        <v>355</v>
      </c>
      <c r="L50" s="8"/>
      <c r="M50" s="8"/>
      <c r="N50" s="8"/>
      <c r="O50" s="10"/>
      <c r="P50" s="10"/>
      <c r="Q50" s="10"/>
    </row>
    <row r="51" customFormat="false" ht="23.85" hidden="false" customHeight="false" outlineLevel="0" collapsed="false">
      <c r="A51" s="8" t="s">
        <v>1191</v>
      </c>
      <c r="B51" s="8" t="s">
        <v>1186</v>
      </c>
      <c r="C51" s="8" t="s">
        <v>35</v>
      </c>
      <c r="D51" s="8" t="s">
        <v>54</v>
      </c>
      <c r="E51" s="8" t="s">
        <v>1192</v>
      </c>
      <c r="F51" s="8" t="s">
        <v>1008</v>
      </c>
      <c r="G51" s="8" t="s">
        <v>1193</v>
      </c>
      <c r="H51" s="8"/>
      <c r="I51" s="8" t="s">
        <v>1194</v>
      </c>
      <c r="J51" s="8" t="s">
        <v>8</v>
      </c>
      <c r="K51" s="8" t="s">
        <v>355</v>
      </c>
      <c r="L51" s="8"/>
      <c r="M51" s="8"/>
      <c r="N51" s="8"/>
      <c r="O51" s="10"/>
      <c r="P51" s="10"/>
      <c r="Q51" s="10"/>
    </row>
    <row r="52" customFormat="false" ht="23.85" hidden="false" customHeight="false" outlineLevel="0" collapsed="false">
      <c r="A52" s="8" t="s">
        <v>1195</v>
      </c>
      <c r="B52" s="8" t="s">
        <v>1186</v>
      </c>
      <c r="C52" s="8" t="s">
        <v>35</v>
      </c>
      <c r="D52" s="8" t="s">
        <v>77</v>
      </c>
      <c r="E52" s="8" t="s">
        <v>1196</v>
      </c>
      <c r="F52" s="8" t="s">
        <v>1197</v>
      </c>
      <c r="G52" s="8" t="s">
        <v>1198</v>
      </c>
      <c r="H52" s="8"/>
      <c r="I52" s="8" t="s">
        <v>1199</v>
      </c>
      <c r="J52" s="8" t="s">
        <v>8</v>
      </c>
      <c r="K52" s="8" t="s">
        <v>945</v>
      </c>
      <c r="L52" s="8"/>
      <c r="M52" s="8"/>
      <c r="N52" s="8"/>
      <c r="O52" s="10"/>
      <c r="P52" s="10"/>
      <c r="Q52" s="10"/>
    </row>
    <row r="53" customFormat="false" ht="23.85" hidden="false" customHeight="false" outlineLevel="0" collapsed="false">
      <c r="A53" s="8" t="s">
        <v>1200</v>
      </c>
      <c r="B53" s="8" t="s">
        <v>1186</v>
      </c>
      <c r="C53" s="8" t="s">
        <v>32</v>
      </c>
      <c r="D53" s="8" t="s">
        <v>77</v>
      </c>
      <c r="E53" s="8" t="s">
        <v>1201</v>
      </c>
      <c r="F53" s="8" t="s">
        <v>1197</v>
      </c>
      <c r="G53" s="8" t="s">
        <v>1202</v>
      </c>
      <c r="H53" s="8"/>
      <c r="I53" s="8" t="s">
        <v>1203</v>
      </c>
      <c r="J53" s="8" t="s">
        <v>8</v>
      </c>
      <c r="K53" s="8" t="s">
        <v>355</v>
      </c>
      <c r="L53" s="8"/>
      <c r="M53" s="8"/>
      <c r="N53" s="8"/>
      <c r="O53" s="10"/>
      <c r="P53" s="10"/>
      <c r="Q53" s="10"/>
    </row>
    <row r="54" customFormat="false" ht="23.85" hidden="false" customHeight="false" outlineLevel="0" collapsed="false">
      <c r="A54" s="8" t="s">
        <v>1204</v>
      </c>
      <c r="B54" s="8" t="s">
        <v>1186</v>
      </c>
      <c r="C54" s="8" t="s">
        <v>35</v>
      </c>
      <c r="D54" s="8" t="s">
        <v>77</v>
      </c>
      <c r="E54" s="8" t="s">
        <v>1205</v>
      </c>
      <c r="F54" s="8" t="s">
        <v>1206</v>
      </c>
      <c r="G54" s="8" t="s">
        <v>1207</v>
      </c>
      <c r="H54" s="8"/>
      <c r="I54" s="8" t="s">
        <v>1208</v>
      </c>
      <c r="J54" s="8" t="s">
        <v>8</v>
      </c>
      <c r="K54" s="8" t="s">
        <v>355</v>
      </c>
      <c r="L54" s="8"/>
      <c r="M54" s="8"/>
      <c r="N54" s="8"/>
      <c r="O54" s="10"/>
      <c r="P54" s="10"/>
      <c r="Q54" s="10"/>
    </row>
    <row r="55" customFormat="false" ht="23.85" hidden="false" customHeight="false" outlineLevel="0" collapsed="false">
      <c r="A55" s="8" t="s">
        <v>1209</v>
      </c>
      <c r="B55" s="8" t="s">
        <v>1210</v>
      </c>
      <c r="C55" s="8" t="s">
        <v>32</v>
      </c>
      <c r="D55" s="8" t="s">
        <v>77</v>
      </c>
      <c r="E55" s="8" t="s">
        <v>1211</v>
      </c>
      <c r="F55" s="8" t="s">
        <v>720</v>
      </c>
      <c r="G55" s="8" t="s">
        <v>1212</v>
      </c>
      <c r="H55" s="8"/>
      <c r="I55" s="8" t="s">
        <v>1213</v>
      </c>
      <c r="J55" s="8" t="s">
        <v>7</v>
      </c>
      <c r="K55" s="8"/>
      <c r="L55" s="12" t="s">
        <v>1214</v>
      </c>
      <c r="M55" s="12" t="s">
        <v>1214</v>
      </c>
      <c r="N55" s="8"/>
      <c r="O55" s="10"/>
      <c r="P55" s="10"/>
      <c r="Q55" s="10"/>
    </row>
    <row r="56" customFormat="false" ht="23.85" hidden="false" customHeight="false" outlineLevel="0" collapsed="false">
      <c r="A56" s="8" t="s">
        <v>1215</v>
      </c>
      <c r="B56" s="8" t="s">
        <v>1210</v>
      </c>
      <c r="C56" s="8" t="s">
        <v>32</v>
      </c>
      <c r="D56" s="8" t="s">
        <v>54</v>
      </c>
      <c r="E56" s="8" t="s">
        <v>1216</v>
      </c>
      <c r="F56" s="8" t="s">
        <v>72</v>
      </c>
      <c r="G56" s="8" t="s">
        <v>1217</v>
      </c>
      <c r="H56" s="8"/>
      <c r="I56" s="8" t="s">
        <v>1218</v>
      </c>
      <c r="J56" s="8" t="s">
        <v>7</v>
      </c>
      <c r="K56" s="8"/>
      <c r="L56" s="9" t="s">
        <v>60</v>
      </c>
      <c r="M56" s="9" t="s">
        <v>60</v>
      </c>
      <c r="N56" s="8"/>
      <c r="O56" s="10"/>
      <c r="P56" s="10"/>
      <c r="Q56" s="10"/>
    </row>
    <row r="57" customFormat="false" ht="23.85" hidden="false" customHeight="false" outlineLevel="0" collapsed="false">
      <c r="A57" s="8" t="s">
        <v>1219</v>
      </c>
      <c r="B57" s="8" t="s">
        <v>1210</v>
      </c>
      <c r="C57" s="8" t="s">
        <v>32</v>
      </c>
      <c r="D57" s="8" t="s">
        <v>54</v>
      </c>
      <c r="E57" s="8" t="s">
        <v>1220</v>
      </c>
      <c r="F57" s="8" t="s">
        <v>72</v>
      </c>
      <c r="G57" s="8" t="s">
        <v>1221</v>
      </c>
      <c r="H57" s="8"/>
      <c r="I57" s="8" t="s">
        <v>1222</v>
      </c>
      <c r="J57" s="8" t="s">
        <v>7</v>
      </c>
      <c r="K57" s="8"/>
      <c r="L57" s="9" t="s">
        <v>60</v>
      </c>
      <c r="M57" s="9" t="s">
        <v>60</v>
      </c>
      <c r="N57" s="8"/>
      <c r="O57" s="10"/>
      <c r="P57" s="10"/>
      <c r="Q57" s="10"/>
    </row>
    <row r="58" customFormat="false" ht="23.85" hidden="false" customHeight="false" outlineLevel="0" collapsed="false">
      <c r="A58" s="8" t="s">
        <v>1223</v>
      </c>
      <c r="B58" s="8" t="s">
        <v>1210</v>
      </c>
      <c r="C58" s="8" t="s">
        <v>32</v>
      </c>
      <c r="D58" s="8" t="s">
        <v>54</v>
      </c>
      <c r="E58" s="8" t="s">
        <v>1224</v>
      </c>
      <c r="F58" s="8" t="s">
        <v>72</v>
      </c>
      <c r="G58" s="8" t="s">
        <v>1225</v>
      </c>
      <c r="H58" s="8"/>
      <c r="I58" s="8" t="s">
        <v>1226</v>
      </c>
      <c r="J58" s="8" t="s">
        <v>7</v>
      </c>
      <c r="K58" s="8"/>
      <c r="L58" s="9" t="s">
        <v>60</v>
      </c>
      <c r="M58" s="9" t="s">
        <v>60</v>
      </c>
      <c r="N58" s="8"/>
      <c r="O58" s="10"/>
      <c r="P58" s="10"/>
      <c r="Q58" s="10"/>
    </row>
    <row r="59" customFormat="false" ht="23.85" hidden="false" customHeight="false" outlineLevel="0" collapsed="false">
      <c r="A59" s="8" t="s">
        <v>1227</v>
      </c>
      <c r="B59" s="8" t="s">
        <v>1210</v>
      </c>
      <c r="C59" s="8" t="s">
        <v>32</v>
      </c>
      <c r="D59" s="8" t="s">
        <v>54</v>
      </c>
      <c r="E59" s="8" t="s">
        <v>1228</v>
      </c>
      <c r="F59" s="8" t="s">
        <v>1229</v>
      </c>
      <c r="G59" s="8" t="s">
        <v>1230</v>
      </c>
      <c r="H59" s="8"/>
      <c r="I59" s="8" t="s">
        <v>1231</v>
      </c>
      <c r="J59" s="8" t="s">
        <v>9</v>
      </c>
      <c r="K59" s="8" t="s">
        <v>493</v>
      </c>
      <c r="L59" s="8"/>
      <c r="M59" s="8"/>
      <c r="N59" s="8"/>
      <c r="O59" s="10"/>
      <c r="P59" s="10"/>
      <c r="Q59" s="10"/>
    </row>
  </sheetData>
  <autoFilter ref="A1:Q59"/>
  <dataValidations count="1">
    <dataValidation allowBlank="true" errorStyle="stop" operator="between" showDropDown="false" showErrorMessage="false" showInputMessage="false" sqref="O2:O59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4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3" t="s">
        <v>40</v>
      </c>
      <c r="B1" s="3" t="s">
        <v>1232</v>
      </c>
      <c r="C1" s="3" t="s">
        <v>6</v>
      </c>
      <c r="D1" s="3" t="s">
        <v>1233</v>
      </c>
    </row>
    <row r="2" customFormat="false" ht="23.85" hidden="false" customHeight="false" outlineLevel="0" collapsed="false">
      <c r="A2" s="8" t="s">
        <v>1229</v>
      </c>
      <c r="B2" s="8" t="s">
        <v>1230</v>
      </c>
      <c r="C2" s="8" t="s">
        <v>1227</v>
      </c>
      <c r="D2" s="8" t="s">
        <v>1234</v>
      </c>
    </row>
    <row r="3" customFormat="false" ht="270.1" hidden="false" customHeight="false" outlineLevel="0" collapsed="false">
      <c r="A3" s="8" t="s">
        <v>72</v>
      </c>
      <c r="B3" s="8" t="s">
        <v>73</v>
      </c>
      <c r="C3" s="8" t="s">
        <v>1235</v>
      </c>
      <c r="D3" s="8" t="s">
        <v>1236</v>
      </c>
    </row>
    <row r="4" customFormat="false" ht="23.85" hidden="false" customHeight="false" outlineLevel="0" collapsed="false">
      <c r="A4" s="8" t="s">
        <v>1079</v>
      </c>
      <c r="B4" s="8" t="s">
        <v>1080</v>
      </c>
      <c r="C4" s="8" t="s">
        <v>1237</v>
      </c>
      <c r="D4" s="8" t="s">
        <v>1238</v>
      </c>
    </row>
    <row r="5" customFormat="false" ht="23.85" hidden="false" customHeight="false" outlineLevel="0" collapsed="false">
      <c r="A5" s="8" t="s">
        <v>1069</v>
      </c>
      <c r="B5" s="8" t="s">
        <v>1070</v>
      </c>
      <c r="C5" s="8" t="s">
        <v>1066</v>
      </c>
      <c r="D5" s="8" t="s">
        <v>1239</v>
      </c>
    </row>
    <row r="6" customFormat="false" ht="15" hidden="false" customHeight="false" outlineLevel="0" collapsed="false">
      <c r="A6" s="8" t="s">
        <v>432</v>
      </c>
      <c r="B6" s="8" t="s">
        <v>433</v>
      </c>
      <c r="C6" s="8" t="s">
        <v>1240</v>
      </c>
      <c r="D6" s="8" t="s">
        <v>1241</v>
      </c>
    </row>
    <row r="7" customFormat="false" ht="23.85" hidden="false" customHeight="false" outlineLevel="0" collapsed="false">
      <c r="A7" s="8" t="s">
        <v>1026</v>
      </c>
      <c r="B7" s="8" t="s">
        <v>1027</v>
      </c>
      <c r="C7" s="8" t="s">
        <v>1242</v>
      </c>
      <c r="D7" s="8" t="s">
        <v>1243</v>
      </c>
    </row>
    <row r="8" customFormat="false" ht="23.85" hidden="false" customHeight="false" outlineLevel="0" collapsed="false">
      <c r="A8" s="8" t="s">
        <v>549</v>
      </c>
      <c r="B8" s="8" t="s">
        <v>550</v>
      </c>
      <c r="C8" s="8" t="s">
        <v>547</v>
      </c>
      <c r="D8" s="8" t="s">
        <v>1244</v>
      </c>
    </row>
    <row r="9" customFormat="false" ht="23.85" hidden="false" customHeight="false" outlineLevel="0" collapsed="false">
      <c r="A9" s="8" t="s">
        <v>1188</v>
      </c>
      <c r="B9" s="8" t="s">
        <v>1189</v>
      </c>
      <c r="C9" s="8" t="s">
        <v>1185</v>
      </c>
      <c r="D9" s="8" t="s">
        <v>1245</v>
      </c>
    </row>
    <row r="10" customFormat="false" ht="23.85" hidden="false" customHeight="false" outlineLevel="0" collapsed="false">
      <c r="A10" s="8" t="s">
        <v>646</v>
      </c>
      <c r="B10" s="8" t="s">
        <v>647</v>
      </c>
      <c r="C10" s="8" t="s">
        <v>1246</v>
      </c>
      <c r="D10" s="8" t="s">
        <v>1247</v>
      </c>
    </row>
    <row r="11" customFormat="false" ht="23.85" hidden="false" customHeight="false" outlineLevel="0" collapsed="false">
      <c r="A11" s="8" t="s">
        <v>745</v>
      </c>
      <c r="B11" s="8" t="s">
        <v>746</v>
      </c>
      <c r="C11" s="8" t="s">
        <v>743</v>
      </c>
      <c r="D11" s="8" t="s">
        <v>1248</v>
      </c>
    </row>
    <row r="12" customFormat="false" ht="23.85" hidden="false" customHeight="false" outlineLevel="0" collapsed="false">
      <c r="A12" s="8" t="s">
        <v>1053</v>
      </c>
      <c r="B12" s="8" t="s">
        <v>1054</v>
      </c>
      <c r="C12" s="8" t="s">
        <v>1051</v>
      </c>
      <c r="D12" s="8" t="s">
        <v>1249</v>
      </c>
    </row>
    <row r="13" customFormat="false" ht="23.85" hidden="false" customHeight="false" outlineLevel="0" collapsed="false">
      <c r="A13" s="8" t="s">
        <v>750</v>
      </c>
      <c r="B13" s="8" t="s">
        <v>751</v>
      </c>
      <c r="C13" s="8" t="s">
        <v>748</v>
      </c>
      <c r="D13" s="8" t="s">
        <v>1250</v>
      </c>
    </row>
    <row r="14" customFormat="false" ht="15" hidden="false" customHeight="false" outlineLevel="0" collapsed="false">
      <c r="A14" s="8" t="s">
        <v>919</v>
      </c>
      <c r="B14" s="8" t="s">
        <v>920</v>
      </c>
      <c r="C14" s="8" t="s">
        <v>917</v>
      </c>
      <c r="D14" s="8" t="s">
        <v>1251</v>
      </c>
    </row>
    <row r="15" customFormat="false" ht="23.85" hidden="false" customHeight="false" outlineLevel="0" collapsed="false">
      <c r="A15" s="8" t="s">
        <v>899</v>
      </c>
      <c r="B15" s="8" t="s">
        <v>900</v>
      </c>
      <c r="C15" s="8" t="s">
        <v>897</v>
      </c>
      <c r="D15" s="8" t="s">
        <v>1252</v>
      </c>
    </row>
    <row r="16" customFormat="false" ht="23.85" hidden="false" customHeight="false" outlineLevel="0" collapsed="false">
      <c r="A16" s="8" t="s">
        <v>1137</v>
      </c>
      <c r="B16" s="8" t="s">
        <v>1138</v>
      </c>
      <c r="C16" s="8" t="s">
        <v>1135</v>
      </c>
      <c r="D16" s="8" t="s">
        <v>1253</v>
      </c>
    </row>
    <row r="17" customFormat="false" ht="15" hidden="false" customHeight="false" outlineLevel="0" collapsed="false">
      <c r="A17" s="8" t="s">
        <v>1008</v>
      </c>
      <c r="B17" s="8" t="s">
        <v>1009</v>
      </c>
      <c r="C17" s="8" t="s">
        <v>1254</v>
      </c>
      <c r="D17" s="8" t="s">
        <v>1255</v>
      </c>
    </row>
    <row r="18" customFormat="false" ht="15" hidden="false" customHeight="false" outlineLevel="0" collapsed="false">
      <c r="A18" s="8" t="s">
        <v>989</v>
      </c>
      <c r="B18" s="8" t="s">
        <v>990</v>
      </c>
      <c r="C18" s="8" t="s">
        <v>1256</v>
      </c>
      <c r="D18" s="8" t="s">
        <v>1257</v>
      </c>
    </row>
    <row r="19" customFormat="false" ht="23.85" hidden="false" customHeight="false" outlineLevel="0" collapsed="false">
      <c r="A19" s="8" t="s">
        <v>1158</v>
      </c>
      <c r="B19" s="8" t="s">
        <v>1159</v>
      </c>
      <c r="C19" s="8" t="s">
        <v>1155</v>
      </c>
      <c r="D19" s="8" t="s">
        <v>1258</v>
      </c>
    </row>
    <row r="20" customFormat="false" ht="23.85" hidden="false" customHeight="false" outlineLevel="0" collapsed="false">
      <c r="A20" s="8" t="s">
        <v>1168</v>
      </c>
      <c r="B20" s="8" t="s">
        <v>1169</v>
      </c>
      <c r="C20" s="8" t="s">
        <v>1259</v>
      </c>
      <c r="D20" s="8" t="s">
        <v>1260</v>
      </c>
    </row>
    <row r="21" customFormat="false" ht="23.85" hidden="false" customHeight="false" outlineLevel="0" collapsed="false">
      <c r="A21" s="8" t="s">
        <v>1206</v>
      </c>
      <c r="B21" s="8" t="s">
        <v>1207</v>
      </c>
      <c r="C21" s="8" t="s">
        <v>1204</v>
      </c>
      <c r="D21" s="8" t="s">
        <v>1261</v>
      </c>
    </row>
    <row r="22" customFormat="false" ht="15" hidden="false" customHeight="false" outlineLevel="0" collapsed="false">
      <c r="A22" s="8" t="s">
        <v>1182</v>
      </c>
      <c r="B22" s="8" t="s">
        <v>1183</v>
      </c>
      <c r="C22" s="8" t="s">
        <v>1180</v>
      </c>
      <c r="D22" s="8" t="s">
        <v>1262</v>
      </c>
    </row>
    <row r="23" customFormat="false" ht="23.85" hidden="false" customHeight="false" outlineLevel="0" collapsed="false">
      <c r="A23" s="8" t="s">
        <v>852</v>
      </c>
      <c r="B23" s="8" t="s">
        <v>853</v>
      </c>
      <c r="C23" s="8" t="s">
        <v>850</v>
      </c>
      <c r="D23" s="8" t="s">
        <v>1263</v>
      </c>
    </row>
    <row r="24" customFormat="false" ht="23.85" hidden="false" customHeight="false" outlineLevel="0" collapsed="false">
      <c r="A24" s="8" t="s">
        <v>374</v>
      </c>
      <c r="B24" s="8" t="s">
        <v>375</v>
      </c>
      <c r="C24" s="8" t="s">
        <v>1264</v>
      </c>
      <c r="D24" s="8" t="s">
        <v>1265</v>
      </c>
    </row>
    <row r="25" customFormat="false" ht="15" hidden="false" customHeight="false" outlineLevel="0" collapsed="false">
      <c r="A25" s="8" t="s">
        <v>511</v>
      </c>
      <c r="B25" s="8" t="s">
        <v>512</v>
      </c>
      <c r="C25" s="8" t="s">
        <v>1266</v>
      </c>
      <c r="D25" s="8" t="s">
        <v>1267</v>
      </c>
    </row>
    <row r="26" customFormat="false" ht="15" hidden="false" customHeight="false" outlineLevel="0" collapsed="false">
      <c r="A26" s="8" t="s">
        <v>540</v>
      </c>
      <c r="B26" s="8" t="s">
        <v>541</v>
      </c>
      <c r="C26" s="8" t="s">
        <v>1268</v>
      </c>
      <c r="D26" s="8" t="s">
        <v>1269</v>
      </c>
    </row>
    <row r="27" customFormat="false" ht="15" hidden="false" customHeight="false" outlineLevel="0" collapsed="false">
      <c r="A27" s="8" t="s">
        <v>1040</v>
      </c>
      <c r="B27" s="8" t="s">
        <v>1041</v>
      </c>
      <c r="C27" s="8" t="s">
        <v>1270</v>
      </c>
      <c r="D27" s="8" t="s">
        <v>1271</v>
      </c>
    </row>
    <row r="28" customFormat="false" ht="23.85" hidden="false" customHeight="false" outlineLevel="0" collapsed="false">
      <c r="A28" s="8" t="s">
        <v>942</v>
      </c>
      <c r="B28" s="8" t="s">
        <v>943</v>
      </c>
      <c r="C28" s="8" t="s">
        <v>1272</v>
      </c>
      <c r="D28" s="8" t="s">
        <v>1273</v>
      </c>
    </row>
    <row r="29" customFormat="false" ht="23.85" hidden="false" customHeight="false" outlineLevel="0" collapsed="false">
      <c r="A29" s="8" t="s">
        <v>952</v>
      </c>
      <c r="B29" s="8" t="s">
        <v>953</v>
      </c>
      <c r="C29" s="8" t="s">
        <v>950</v>
      </c>
      <c r="D29" s="8" t="s">
        <v>1274</v>
      </c>
    </row>
    <row r="30" customFormat="false" ht="23.85" hidden="false" customHeight="false" outlineLevel="0" collapsed="false">
      <c r="A30" s="8" t="s">
        <v>351</v>
      </c>
      <c r="B30" s="8" t="s">
        <v>352</v>
      </c>
      <c r="C30" s="8" t="s">
        <v>1275</v>
      </c>
      <c r="D30" s="8" t="s">
        <v>1276</v>
      </c>
    </row>
    <row r="31" customFormat="false" ht="23.85" hidden="false" customHeight="false" outlineLevel="0" collapsed="false">
      <c r="A31" s="8" t="s">
        <v>1074</v>
      </c>
      <c r="B31" s="8" t="s">
        <v>1075</v>
      </c>
      <c r="C31" s="8" t="s">
        <v>1072</v>
      </c>
      <c r="D31" s="8" t="s">
        <v>1277</v>
      </c>
    </row>
    <row r="32" customFormat="false" ht="23.85" hidden="false" customHeight="false" outlineLevel="0" collapsed="false">
      <c r="A32" s="8" t="s">
        <v>631</v>
      </c>
      <c r="B32" s="8" t="s">
        <v>632</v>
      </c>
      <c r="C32" s="8" t="s">
        <v>1278</v>
      </c>
      <c r="D32" s="8" t="s">
        <v>1279</v>
      </c>
    </row>
    <row r="33" customFormat="false" ht="23.85" hidden="false" customHeight="false" outlineLevel="0" collapsed="false">
      <c r="A33" s="8" t="s">
        <v>1003</v>
      </c>
      <c r="B33" s="8" t="s">
        <v>1004</v>
      </c>
      <c r="C33" s="8" t="s">
        <v>1001</v>
      </c>
      <c r="D33" s="8" t="s">
        <v>1280</v>
      </c>
    </row>
    <row r="34" customFormat="false" ht="15" hidden="false" customHeight="false" outlineLevel="0" collapsed="false">
      <c r="A34" s="8" t="s">
        <v>1058</v>
      </c>
      <c r="B34" s="8" t="s">
        <v>1059</v>
      </c>
      <c r="C34" s="8" t="s">
        <v>1056</v>
      </c>
      <c r="D34" s="8" t="s">
        <v>1281</v>
      </c>
    </row>
    <row r="35" customFormat="false" ht="23.85" hidden="false" customHeight="false" outlineLevel="0" collapsed="false">
      <c r="A35" s="8" t="s">
        <v>1063</v>
      </c>
      <c r="B35" s="8" t="s">
        <v>1064</v>
      </c>
      <c r="C35" s="8" t="s">
        <v>1061</v>
      </c>
      <c r="D35" s="8" t="s">
        <v>1282</v>
      </c>
    </row>
    <row r="36" customFormat="false" ht="35.05" hidden="false" customHeight="false" outlineLevel="0" collapsed="false">
      <c r="A36" s="8" t="s">
        <v>56</v>
      </c>
      <c r="B36" s="8" t="s">
        <v>57</v>
      </c>
      <c r="C36" s="8" t="s">
        <v>1283</v>
      </c>
      <c r="D36" s="8" t="s">
        <v>1284</v>
      </c>
    </row>
    <row r="37" customFormat="false" ht="46.25" hidden="false" customHeight="false" outlineLevel="0" collapsed="false">
      <c r="A37" s="8" t="s">
        <v>403</v>
      </c>
      <c r="B37" s="8" t="s">
        <v>404</v>
      </c>
      <c r="C37" s="8" t="s">
        <v>1285</v>
      </c>
      <c r="D37" s="8" t="s">
        <v>1286</v>
      </c>
    </row>
    <row r="38" customFormat="false" ht="23.85" hidden="false" customHeight="false" outlineLevel="0" collapsed="false">
      <c r="A38" s="8" t="s">
        <v>506</v>
      </c>
      <c r="B38" s="8" t="s">
        <v>507</v>
      </c>
      <c r="C38" s="8" t="s">
        <v>1287</v>
      </c>
      <c r="D38" s="8" t="s">
        <v>1288</v>
      </c>
    </row>
    <row r="39" customFormat="false" ht="15" hidden="false" customHeight="false" outlineLevel="0" collapsed="false">
      <c r="A39" s="8" t="s">
        <v>521</v>
      </c>
      <c r="B39" s="8" t="s">
        <v>522</v>
      </c>
      <c r="C39" s="8" t="s">
        <v>1289</v>
      </c>
      <c r="D39" s="8" t="s">
        <v>1290</v>
      </c>
    </row>
    <row r="40" customFormat="false" ht="23.85" hidden="false" customHeight="false" outlineLevel="0" collapsed="false">
      <c r="A40" s="8" t="s">
        <v>535</v>
      </c>
      <c r="B40" s="8" t="s">
        <v>536</v>
      </c>
      <c r="C40" s="8" t="s">
        <v>533</v>
      </c>
      <c r="D40" s="8" t="s">
        <v>1291</v>
      </c>
    </row>
    <row r="41" customFormat="false" ht="23.85" hidden="false" customHeight="false" outlineLevel="0" collapsed="false">
      <c r="A41" s="8" t="s">
        <v>569</v>
      </c>
      <c r="B41" s="8" t="s">
        <v>570</v>
      </c>
      <c r="C41" s="8" t="s">
        <v>1292</v>
      </c>
      <c r="D41" s="8" t="s">
        <v>1293</v>
      </c>
    </row>
    <row r="42" customFormat="false" ht="23.85" hidden="false" customHeight="false" outlineLevel="0" collapsed="false">
      <c r="A42" s="8" t="s">
        <v>678</v>
      </c>
      <c r="B42" s="8" t="s">
        <v>679</v>
      </c>
      <c r="C42" s="8" t="s">
        <v>676</v>
      </c>
      <c r="D42" s="8" t="s">
        <v>1294</v>
      </c>
    </row>
    <row r="43" customFormat="false" ht="23.85" hidden="false" customHeight="false" outlineLevel="0" collapsed="false">
      <c r="A43" s="8" t="s">
        <v>683</v>
      </c>
      <c r="B43" s="8" t="s">
        <v>684</v>
      </c>
      <c r="C43" s="8" t="s">
        <v>681</v>
      </c>
      <c r="D43" s="8" t="s">
        <v>1295</v>
      </c>
    </row>
    <row r="44" customFormat="false" ht="23.85" hidden="false" customHeight="false" outlineLevel="0" collapsed="false">
      <c r="A44" s="8" t="s">
        <v>688</v>
      </c>
      <c r="B44" s="8" t="s">
        <v>689</v>
      </c>
      <c r="C44" s="8" t="s">
        <v>686</v>
      </c>
      <c r="D44" s="8" t="s">
        <v>1296</v>
      </c>
    </row>
    <row r="45" customFormat="false" ht="15" hidden="false" customHeight="false" outlineLevel="0" collapsed="false">
      <c r="A45" s="8" t="s">
        <v>710</v>
      </c>
      <c r="B45" s="8" t="s">
        <v>711</v>
      </c>
      <c r="C45" s="8" t="s">
        <v>1297</v>
      </c>
      <c r="D45" s="8" t="s">
        <v>1298</v>
      </c>
    </row>
    <row r="46" customFormat="false" ht="23.85" hidden="false" customHeight="false" outlineLevel="0" collapsed="false">
      <c r="A46" s="8" t="s">
        <v>699</v>
      </c>
      <c r="B46" s="8" t="s">
        <v>700</v>
      </c>
      <c r="C46" s="8" t="s">
        <v>697</v>
      </c>
      <c r="D46" s="8" t="s">
        <v>1299</v>
      </c>
    </row>
    <row r="47" customFormat="false" ht="15" hidden="false" customHeight="false" outlineLevel="0" collapsed="false">
      <c r="A47" s="8" t="s">
        <v>755</v>
      </c>
      <c r="B47" s="8" t="s">
        <v>756</v>
      </c>
      <c r="C47" s="8" t="s">
        <v>753</v>
      </c>
      <c r="D47" s="8" t="s">
        <v>1300</v>
      </c>
    </row>
    <row r="48" customFormat="false" ht="15" hidden="false" customHeight="false" outlineLevel="0" collapsed="false">
      <c r="A48" s="8" t="s">
        <v>694</v>
      </c>
      <c r="B48" s="8" t="s">
        <v>695</v>
      </c>
      <c r="C48" s="8" t="s">
        <v>692</v>
      </c>
      <c r="D48" s="8" t="s">
        <v>1301</v>
      </c>
    </row>
    <row r="49" customFormat="false" ht="15" hidden="false" customHeight="false" outlineLevel="0" collapsed="false">
      <c r="A49" s="8" t="s">
        <v>779</v>
      </c>
      <c r="B49" s="8" t="s">
        <v>780</v>
      </c>
      <c r="C49" s="8" t="s">
        <v>777</v>
      </c>
      <c r="D49" s="8" t="s">
        <v>1302</v>
      </c>
    </row>
    <row r="50" customFormat="false" ht="15" hidden="false" customHeight="false" outlineLevel="0" collapsed="false">
      <c r="A50" s="8" t="s">
        <v>870</v>
      </c>
      <c r="B50" s="8" t="s">
        <v>871</v>
      </c>
      <c r="C50" s="8" t="s">
        <v>867</v>
      </c>
      <c r="D50" s="8" t="s">
        <v>1303</v>
      </c>
    </row>
    <row r="51" customFormat="false" ht="35.05" hidden="false" customHeight="false" outlineLevel="0" collapsed="false">
      <c r="A51" s="8" t="s">
        <v>705</v>
      </c>
      <c r="B51" s="8" t="s">
        <v>706</v>
      </c>
      <c r="C51" s="8" t="s">
        <v>1304</v>
      </c>
      <c r="D51" s="8" t="s">
        <v>1305</v>
      </c>
    </row>
    <row r="52" customFormat="false" ht="15" hidden="false" customHeight="false" outlineLevel="0" collapsed="false">
      <c r="A52" s="8" t="s">
        <v>828</v>
      </c>
      <c r="B52" s="8" t="s">
        <v>829</v>
      </c>
      <c r="C52" s="8" t="s">
        <v>1306</v>
      </c>
      <c r="D52" s="8" t="s">
        <v>1307</v>
      </c>
    </row>
    <row r="53" customFormat="false" ht="15" hidden="false" customHeight="false" outlineLevel="0" collapsed="false">
      <c r="A53" s="8" t="s">
        <v>876</v>
      </c>
      <c r="B53" s="8" t="s">
        <v>877</v>
      </c>
      <c r="C53" s="8" t="s">
        <v>1308</v>
      </c>
      <c r="D53" s="8" t="s">
        <v>1309</v>
      </c>
    </row>
    <row r="54" customFormat="false" ht="15" hidden="false" customHeight="false" outlineLevel="0" collapsed="false">
      <c r="A54" s="8" t="s">
        <v>889</v>
      </c>
      <c r="B54" s="8" t="s">
        <v>890</v>
      </c>
      <c r="C54" s="8" t="s">
        <v>887</v>
      </c>
      <c r="D54" s="8" t="s">
        <v>1310</v>
      </c>
    </row>
    <row r="55" customFormat="false" ht="23.85" hidden="false" customHeight="false" outlineLevel="0" collapsed="false">
      <c r="A55" s="8" t="s">
        <v>904</v>
      </c>
      <c r="B55" s="8" t="s">
        <v>905</v>
      </c>
      <c r="C55" s="8" t="s">
        <v>902</v>
      </c>
      <c r="D55" s="8" t="s">
        <v>1311</v>
      </c>
    </row>
    <row r="56" customFormat="false" ht="23.85" hidden="false" customHeight="false" outlineLevel="0" collapsed="false">
      <c r="A56" s="8" t="s">
        <v>909</v>
      </c>
      <c r="B56" s="8" t="s">
        <v>910</v>
      </c>
      <c r="C56" s="8" t="s">
        <v>907</v>
      </c>
      <c r="D56" s="8" t="s">
        <v>1312</v>
      </c>
    </row>
    <row r="57" customFormat="false" ht="15" hidden="false" customHeight="false" outlineLevel="0" collapsed="false">
      <c r="A57" s="8" t="s">
        <v>894</v>
      </c>
      <c r="B57" s="8" t="s">
        <v>895</v>
      </c>
      <c r="C57" s="8" t="s">
        <v>892</v>
      </c>
      <c r="D57" s="8" t="s">
        <v>1313</v>
      </c>
    </row>
    <row r="58" customFormat="false" ht="15" hidden="false" customHeight="false" outlineLevel="0" collapsed="false">
      <c r="A58" s="8" t="s">
        <v>925</v>
      </c>
      <c r="B58" s="8" t="s">
        <v>926</v>
      </c>
      <c r="C58" s="8" t="s">
        <v>1314</v>
      </c>
      <c r="D58" s="8" t="s">
        <v>1315</v>
      </c>
    </row>
    <row r="59" customFormat="false" ht="15" hidden="false" customHeight="false" outlineLevel="0" collapsed="false">
      <c r="A59" s="8" t="s">
        <v>1163</v>
      </c>
      <c r="B59" s="8" t="s">
        <v>1164</v>
      </c>
      <c r="C59" s="8" t="s">
        <v>1161</v>
      </c>
      <c r="D59" s="8" t="s">
        <v>1316</v>
      </c>
    </row>
    <row r="60" customFormat="false" ht="15" hidden="false" customHeight="false" outlineLevel="0" collapsed="false">
      <c r="A60" s="8" t="s">
        <v>1173</v>
      </c>
      <c r="B60" s="8" t="s">
        <v>1174</v>
      </c>
      <c r="C60" s="8" t="s">
        <v>1171</v>
      </c>
      <c r="D60" s="8" t="s">
        <v>1317</v>
      </c>
    </row>
    <row r="61" customFormat="false" ht="23.85" hidden="false" customHeight="false" outlineLevel="0" collapsed="false">
      <c r="A61" s="8" t="s">
        <v>980</v>
      </c>
      <c r="B61" s="8" t="s">
        <v>981</v>
      </c>
      <c r="C61" s="8" t="s">
        <v>978</v>
      </c>
      <c r="D61" s="8" t="s">
        <v>1318</v>
      </c>
    </row>
    <row r="62" customFormat="false" ht="23.85" hidden="false" customHeight="false" outlineLevel="0" collapsed="false">
      <c r="A62" s="8" t="s">
        <v>715</v>
      </c>
      <c r="B62" s="8" t="s">
        <v>716</v>
      </c>
      <c r="C62" s="8" t="s">
        <v>1319</v>
      </c>
      <c r="D62" s="8" t="s">
        <v>1320</v>
      </c>
    </row>
    <row r="63" customFormat="false" ht="23.85" hidden="false" customHeight="false" outlineLevel="0" collapsed="false">
      <c r="A63" s="8" t="s">
        <v>958</v>
      </c>
      <c r="B63" s="8" t="s">
        <v>959</v>
      </c>
      <c r="C63" s="8" t="s">
        <v>1321</v>
      </c>
      <c r="D63" s="8" t="s">
        <v>1322</v>
      </c>
    </row>
    <row r="64" customFormat="false" ht="23.85" hidden="false" customHeight="false" outlineLevel="0" collapsed="false">
      <c r="A64" s="8" t="s">
        <v>967</v>
      </c>
      <c r="B64" s="8" t="s">
        <v>968</v>
      </c>
      <c r="C64" s="8" t="s">
        <v>1323</v>
      </c>
      <c r="D64" s="8" t="s">
        <v>1324</v>
      </c>
    </row>
    <row r="65" customFormat="false" ht="15" hidden="false" customHeight="false" outlineLevel="0" collapsed="false">
      <c r="A65" s="8" t="s">
        <v>998</v>
      </c>
      <c r="B65" s="8" t="s">
        <v>999</v>
      </c>
      <c r="C65" s="8" t="s">
        <v>996</v>
      </c>
      <c r="D65" s="8" t="s">
        <v>1325</v>
      </c>
    </row>
    <row r="66" customFormat="false" ht="15" hidden="false" customHeight="false" outlineLevel="0" collapsed="false">
      <c r="A66" s="8" t="s">
        <v>1142</v>
      </c>
      <c r="B66" s="8" t="s">
        <v>1143</v>
      </c>
      <c r="C66" s="8" t="s">
        <v>1140</v>
      </c>
      <c r="D66" s="8" t="s">
        <v>1326</v>
      </c>
    </row>
    <row r="67" customFormat="false" ht="15" hidden="false" customHeight="false" outlineLevel="0" collapsed="false">
      <c r="A67" s="8" t="s">
        <v>1123</v>
      </c>
      <c r="B67" s="8" t="s">
        <v>1124</v>
      </c>
      <c r="C67" s="8" t="s">
        <v>1121</v>
      </c>
      <c r="D67" s="8" t="s">
        <v>1327</v>
      </c>
    </row>
    <row r="68" customFormat="false" ht="23.85" hidden="false" customHeight="false" outlineLevel="0" collapsed="false">
      <c r="A68" s="8" t="s">
        <v>636</v>
      </c>
      <c r="B68" s="8" t="s">
        <v>637</v>
      </c>
      <c r="C68" s="8" t="s">
        <v>634</v>
      </c>
      <c r="D68" s="8" t="s">
        <v>1328</v>
      </c>
    </row>
    <row r="69" customFormat="false" ht="23.85" hidden="false" customHeight="false" outlineLevel="0" collapsed="false">
      <c r="A69" s="8" t="s">
        <v>765</v>
      </c>
      <c r="B69" s="8" t="s">
        <v>766</v>
      </c>
      <c r="C69" s="8" t="s">
        <v>763</v>
      </c>
      <c r="D69" s="8" t="s">
        <v>1329</v>
      </c>
    </row>
    <row r="70" customFormat="false" ht="23.85" hidden="false" customHeight="false" outlineLevel="0" collapsed="false">
      <c r="A70" s="8" t="s">
        <v>760</v>
      </c>
      <c r="B70" s="8" t="s">
        <v>761</v>
      </c>
      <c r="C70" s="8" t="s">
        <v>1330</v>
      </c>
      <c r="D70" s="8" t="s">
        <v>1331</v>
      </c>
    </row>
    <row r="71" customFormat="false" ht="15" hidden="false" customHeight="false" outlineLevel="0" collapsed="false">
      <c r="A71" s="8" t="s">
        <v>774</v>
      </c>
      <c r="B71" s="8" t="s">
        <v>775</v>
      </c>
      <c r="C71" s="8" t="s">
        <v>772</v>
      </c>
      <c r="D71" s="8" t="s">
        <v>1332</v>
      </c>
    </row>
    <row r="72" customFormat="false" ht="15" hidden="false" customHeight="false" outlineLevel="0" collapsed="false">
      <c r="A72" s="8" t="s">
        <v>720</v>
      </c>
      <c r="B72" s="8" t="s">
        <v>721</v>
      </c>
      <c r="C72" s="8" t="s">
        <v>1333</v>
      </c>
      <c r="D72" s="8" t="s">
        <v>1334</v>
      </c>
    </row>
    <row r="73" customFormat="false" ht="23.85" hidden="false" customHeight="false" outlineLevel="0" collapsed="false">
      <c r="A73" s="8" t="s">
        <v>617</v>
      </c>
      <c r="B73" s="8" t="s">
        <v>618</v>
      </c>
      <c r="C73" s="8" t="s">
        <v>1335</v>
      </c>
      <c r="D73" s="8" t="s">
        <v>1336</v>
      </c>
    </row>
    <row r="74" customFormat="false" ht="15" hidden="false" customHeight="false" outlineLevel="0" collapsed="false">
      <c r="A74" s="8" t="s">
        <v>599</v>
      </c>
      <c r="B74" s="8" t="s">
        <v>600</v>
      </c>
      <c r="C74" s="8" t="s">
        <v>1337</v>
      </c>
      <c r="D74" s="8" t="s">
        <v>1338</v>
      </c>
    </row>
    <row r="75" customFormat="false" ht="23.85" hidden="false" customHeight="false" outlineLevel="0" collapsed="false">
      <c r="A75" s="8" t="s">
        <v>612</v>
      </c>
      <c r="B75" s="8" t="s">
        <v>613</v>
      </c>
      <c r="C75" s="8" t="s">
        <v>610</v>
      </c>
      <c r="D75" s="8" t="s">
        <v>1339</v>
      </c>
    </row>
    <row r="76" customFormat="false" ht="15" hidden="false" customHeight="false" outlineLevel="0" collapsed="false">
      <c r="A76" s="8" t="s">
        <v>626</v>
      </c>
      <c r="B76" s="8" t="s">
        <v>627</v>
      </c>
      <c r="C76" s="8" t="s">
        <v>624</v>
      </c>
      <c r="D76" s="8" t="s">
        <v>1340</v>
      </c>
    </row>
    <row r="77" customFormat="false" ht="15" hidden="false" customHeight="false" outlineLevel="0" collapsed="false">
      <c r="A77" s="8" t="s">
        <v>496</v>
      </c>
      <c r="B77" s="8" t="s">
        <v>497</v>
      </c>
      <c r="C77" s="8" t="s">
        <v>494</v>
      </c>
      <c r="D77" s="8" t="s">
        <v>1341</v>
      </c>
    </row>
    <row r="78" customFormat="false" ht="15" hidden="false" customHeight="false" outlineLevel="0" collapsed="false">
      <c r="A78" s="8" t="s">
        <v>486</v>
      </c>
      <c r="B78" s="8" t="s">
        <v>487</v>
      </c>
      <c r="C78" s="8" t="s">
        <v>1342</v>
      </c>
      <c r="D78" s="8" t="s">
        <v>1343</v>
      </c>
    </row>
    <row r="79" customFormat="false" ht="15" hidden="false" customHeight="false" outlineLevel="0" collapsed="false">
      <c r="A79" s="8" t="s">
        <v>554</v>
      </c>
      <c r="B79" s="8" t="s">
        <v>555</v>
      </c>
      <c r="C79" s="8" t="s">
        <v>552</v>
      </c>
      <c r="D79" s="8" t="s">
        <v>1344</v>
      </c>
    </row>
    <row r="80" customFormat="false" ht="23.85" hidden="false" customHeight="false" outlineLevel="0" collapsed="false">
      <c r="A80" s="8" t="s">
        <v>469</v>
      </c>
      <c r="B80" s="8" t="s">
        <v>470</v>
      </c>
      <c r="C80" s="8" t="s">
        <v>1345</v>
      </c>
      <c r="D80" s="8" t="s">
        <v>1346</v>
      </c>
    </row>
    <row r="81" customFormat="false" ht="15" hidden="false" customHeight="false" outlineLevel="0" collapsed="false">
      <c r="A81" s="8" t="s">
        <v>464</v>
      </c>
      <c r="B81" s="8" t="s">
        <v>465</v>
      </c>
      <c r="C81" s="8" t="s">
        <v>462</v>
      </c>
      <c r="D81" s="8" t="s">
        <v>1347</v>
      </c>
    </row>
    <row r="82" customFormat="false" ht="23.85" hidden="false" customHeight="false" outlineLevel="0" collapsed="false">
      <c r="A82" s="8" t="s">
        <v>563</v>
      </c>
      <c r="B82" s="8" t="s">
        <v>564</v>
      </c>
      <c r="C82" s="8" t="s">
        <v>561</v>
      </c>
      <c r="D82" s="8" t="s">
        <v>1348</v>
      </c>
    </row>
    <row r="83" customFormat="false" ht="15" hidden="false" customHeight="false" outlineLevel="0" collapsed="false">
      <c r="A83" s="8" t="s">
        <v>1147</v>
      </c>
      <c r="B83" s="8" t="s">
        <v>1148</v>
      </c>
      <c r="C83" s="8" t="s">
        <v>1145</v>
      </c>
      <c r="D83" s="8" t="s">
        <v>1349</v>
      </c>
    </row>
    <row r="84" customFormat="false" ht="15" hidden="false" customHeight="false" outlineLevel="0" collapsed="false">
      <c r="A84" s="8" t="s">
        <v>1084</v>
      </c>
      <c r="B84" s="8" t="s">
        <v>1085</v>
      </c>
      <c r="C84" s="8" t="s">
        <v>1082</v>
      </c>
      <c r="D84" s="8" t="s">
        <v>1350</v>
      </c>
    </row>
    <row r="85" customFormat="false" ht="23.85" hidden="false" customHeight="false" outlineLevel="0" collapsed="false">
      <c r="A85" s="8" t="s">
        <v>363</v>
      </c>
      <c r="B85" s="8" t="s">
        <v>364</v>
      </c>
      <c r="C85" s="8" t="s">
        <v>361</v>
      </c>
      <c r="D85" s="8" t="s">
        <v>1351</v>
      </c>
    </row>
    <row r="86" customFormat="false" ht="15" hidden="false" customHeight="false" outlineLevel="0" collapsed="false">
      <c r="A86" s="8" t="s">
        <v>1035</v>
      </c>
      <c r="B86" s="8" t="s">
        <v>1036</v>
      </c>
      <c r="C86" s="8" t="s">
        <v>1352</v>
      </c>
      <c r="D86" s="8" t="s">
        <v>1353</v>
      </c>
    </row>
    <row r="87" customFormat="false" ht="15" hidden="false" customHeight="false" outlineLevel="0" collapsed="false">
      <c r="A87" s="8" t="s">
        <v>1152</v>
      </c>
      <c r="B87" s="8" t="s">
        <v>1153</v>
      </c>
      <c r="C87" s="8" t="s">
        <v>1150</v>
      </c>
      <c r="D87" s="8" t="s">
        <v>1354</v>
      </c>
    </row>
    <row r="88" customFormat="false" ht="23.85" hidden="false" customHeight="false" outlineLevel="0" collapsed="false">
      <c r="A88" s="8" t="s">
        <v>847</v>
      </c>
      <c r="B88" s="8" t="s">
        <v>848</v>
      </c>
      <c r="C88" s="8" t="s">
        <v>1355</v>
      </c>
      <c r="D88" s="8" t="s">
        <v>1356</v>
      </c>
    </row>
    <row r="89" customFormat="false" ht="23.85" hidden="false" customHeight="false" outlineLevel="0" collapsed="false">
      <c r="A89" s="8" t="s">
        <v>842</v>
      </c>
      <c r="B89" s="8" t="s">
        <v>843</v>
      </c>
      <c r="C89" s="8" t="s">
        <v>840</v>
      </c>
      <c r="D89" s="8" t="s">
        <v>1357</v>
      </c>
    </row>
    <row r="90" customFormat="false" ht="15" hidden="false" customHeight="false" outlineLevel="0" collapsed="false">
      <c r="A90" s="8" t="s">
        <v>914</v>
      </c>
      <c r="B90" s="8" t="s">
        <v>915</v>
      </c>
      <c r="C90" s="8" t="s">
        <v>912</v>
      </c>
      <c r="D90" s="8" t="s">
        <v>1358</v>
      </c>
    </row>
    <row r="91" customFormat="false" ht="15" hidden="false" customHeight="false" outlineLevel="0" collapsed="false">
      <c r="A91" s="8" t="s">
        <v>1197</v>
      </c>
      <c r="B91" s="8" t="s">
        <v>1198</v>
      </c>
      <c r="C91" s="8" t="s">
        <v>1359</v>
      </c>
      <c r="D91" s="8" t="s">
        <v>1360</v>
      </c>
    </row>
    <row r="92" customFormat="false" ht="15" hidden="false" customHeight="false" outlineLevel="0" collapsed="false">
      <c r="A92" s="8" t="s">
        <v>1094</v>
      </c>
      <c r="B92" s="8" t="s">
        <v>1095</v>
      </c>
      <c r="C92" s="8" t="s">
        <v>1092</v>
      </c>
      <c r="D92" s="8" t="s">
        <v>1361</v>
      </c>
    </row>
    <row r="93" customFormat="false" ht="15" hidden="false" customHeight="false" outlineLevel="0" collapsed="false">
      <c r="A93" s="8" t="s">
        <v>1089</v>
      </c>
      <c r="B93" s="8" t="s">
        <v>1090</v>
      </c>
      <c r="C93" s="8" t="s">
        <v>1362</v>
      </c>
      <c r="D93" s="8" t="s">
        <v>1363</v>
      </c>
    </row>
    <row r="94" customFormat="false" ht="15" hidden="false" customHeight="false" outlineLevel="0" collapsed="false">
      <c r="A94" s="8" t="s">
        <v>1099</v>
      </c>
      <c r="B94" s="8" t="s">
        <v>1100</v>
      </c>
      <c r="C94" s="8" t="s">
        <v>1097</v>
      </c>
      <c r="D94" s="8" t="s">
        <v>1364</v>
      </c>
    </row>
    <row r="95" customFormat="false" ht="23.85" hidden="false" customHeight="false" outlineLevel="0" collapsed="false">
      <c r="A95" s="8" t="s">
        <v>1113</v>
      </c>
      <c r="B95" s="8" t="s">
        <v>1114</v>
      </c>
      <c r="C95" s="8" t="s">
        <v>1110</v>
      </c>
      <c r="D95" s="8" t="s">
        <v>1365</v>
      </c>
    </row>
    <row r="96" customFormat="false" ht="15" hidden="false" customHeight="false" outlineLevel="0" collapsed="false">
      <c r="A96" s="8" t="s">
        <v>1118</v>
      </c>
      <c r="B96" s="8" t="s">
        <v>1119</v>
      </c>
      <c r="C96" s="8" t="s">
        <v>1116</v>
      </c>
      <c r="D96" s="8" t="s">
        <v>1366</v>
      </c>
    </row>
    <row r="97" customFormat="false" ht="15" hidden="false" customHeight="false" outlineLevel="0" collapsed="false">
      <c r="A97" s="8" t="s">
        <v>1132</v>
      </c>
      <c r="B97" s="8" t="s">
        <v>1133</v>
      </c>
      <c r="C97" s="8" t="s">
        <v>1130</v>
      </c>
      <c r="D97" s="8" t="s">
        <v>1367</v>
      </c>
    </row>
  </sheetData>
  <autoFilter ref="A1:D9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4" min="3" style="0" width="24"/>
    <col collapsed="false" customWidth="true" hidden="false" outlineLevel="0" max="5" min="5" style="0" width="22"/>
    <col collapsed="false" customWidth="true" hidden="false" outlineLevel="0" max="7" min="6" style="0" width="18"/>
    <col collapsed="false" customWidth="true" hidden="false" outlineLevel="0" max="8" min="8" style="0" width="30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2" t="s">
        <v>1368</v>
      </c>
    </row>
    <row r="3" customFormat="false" ht="15" hidden="false" customHeight="false" outlineLevel="0" collapsed="false">
      <c r="A3" s="13" t="s">
        <v>1369</v>
      </c>
      <c r="B3" s="2" t="s">
        <v>31</v>
      </c>
    </row>
    <row r="4" customFormat="false" ht="15" hidden="false" customHeight="false" outlineLevel="0" collapsed="false">
      <c r="A4" s="3" t="s">
        <v>1370</v>
      </c>
      <c r="B4" s="3" t="s">
        <v>1371</v>
      </c>
      <c r="C4" s="3" t="s">
        <v>1372</v>
      </c>
      <c r="D4" s="3" t="s">
        <v>6</v>
      </c>
    </row>
    <row r="5" customFormat="false" ht="15" hidden="false" customHeight="false" outlineLevel="0" collapsed="false">
      <c r="A5" s="8" t="s">
        <v>1373</v>
      </c>
      <c r="B5" s="8" t="s">
        <v>1374</v>
      </c>
      <c r="C5" s="8" t="s">
        <v>1375</v>
      </c>
      <c r="D5" s="8" t="s">
        <v>52</v>
      </c>
    </row>
    <row r="6" customFormat="false" ht="15" hidden="false" customHeight="false" outlineLevel="0" collapsed="false">
      <c r="A6" s="8" t="s">
        <v>1376</v>
      </c>
      <c r="B6" s="8" t="s">
        <v>1377</v>
      </c>
      <c r="C6" s="8" t="s">
        <v>1378</v>
      </c>
      <c r="D6" s="8" t="s">
        <v>61</v>
      </c>
    </row>
    <row r="7" customFormat="false" ht="15" hidden="false" customHeight="false" outlineLevel="0" collapsed="false">
      <c r="A7" s="8" t="s">
        <v>1379</v>
      </c>
      <c r="B7" s="8" t="s">
        <v>1380</v>
      </c>
      <c r="C7" s="8" t="s">
        <v>1381</v>
      </c>
      <c r="D7" s="8" t="s">
        <v>65</v>
      </c>
    </row>
    <row r="8" customFormat="false" ht="15" hidden="false" customHeight="false" outlineLevel="0" collapsed="false">
      <c r="A8" s="8" t="s">
        <v>1382</v>
      </c>
      <c r="B8" s="8" t="s">
        <v>1383</v>
      </c>
      <c r="C8" s="8" t="s">
        <v>1381</v>
      </c>
      <c r="D8" s="8" t="s">
        <v>92</v>
      </c>
    </row>
    <row r="9" customFormat="false" ht="15" hidden="false" customHeight="false" outlineLevel="0" collapsed="false">
      <c r="A9" s="8" t="s">
        <v>1384</v>
      </c>
      <c r="B9" s="8" t="s">
        <v>1385</v>
      </c>
      <c r="C9" s="8" t="s">
        <v>1386</v>
      </c>
      <c r="D9" s="8" t="s">
        <v>86</v>
      </c>
    </row>
    <row r="11" customFormat="false" ht="15" hidden="false" customHeight="false" outlineLevel="0" collapsed="false">
      <c r="A11" s="13" t="s">
        <v>1387</v>
      </c>
      <c r="B11" s="2" t="s">
        <v>34</v>
      </c>
    </row>
    <row r="12" customFormat="false" ht="15" hidden="false" customHeight="false" outlineLevel="0" collapsed="false">
      <c r="A12" s="3" t="s">
        <v>1388</v>
      </c>
      <c r="B12" s="3" t="s">
        <v>1389</v>
      </c>
      <c r="C12" s="3" t="s">
        <v>1390</v>
      </c>
      <c r="D12" s="3" t="s">
        <v>6</v>
      </c>
    </row>
    <row r="13" customFormat="false" ht="15" hidden="false" customHeight="false" outlineLevel="0" collapsed="false">
      <c r="A13" s="8" t="s">
        <v>1391</v>
      </c>
      <c r="B13" s="8" t="s">
        <v>1392</v>
      </c>
      <c r="C13" s="8" t="s">
        <v>1393</v>
      </c>
      <c r="D13" s="8" t="s">
        <v>1394</v>
      </c>
    </row>
    <row r="14" customFormat="false" ht="15" hidden="false" customHeight="false" outlineLevel="0" collapsed="false">
      <c r="A14" s="8" t="s">
        <v>1391</v>
      </c>
      <c r="B14" s="8" t="s">
        <v>1395</v>
      </c>
      <c r="C14" s="8" t="s">
        <v>1396</v>
      </c>
      <c r="D14" s="8" t="s">
        <v>52</v>
      </c>
    </row>
    <row r="15" customFormat="false" ht="15" hidden="false" customHeight="false" outlineLevel="0" collapsed="false">
      <c r="A15" s="8" t="s">
        <v>112</v>
      </c>
      <c r="B15" s="8" t="s">
        <v>1397</v>
      </c>
      <c r="C15" s="8" t="s">
        <v>1391</v>
      </c>
      <c r="D15" s="8" t="s">
        <v>81</v>
      </c>
    </row>
    <row r="16" customFormat="false" ht="15" hidden="false" customHeight="false" outlineLevel="0" collapsed="false">
      <c r="A16" s="8" t="s">
        <v>112</v>
      </c>
      <c r="B16" s="8" t="s">
        <v>1398</v>
      </c>
      <c r="C16" s="8" t="s">
        <v>1391</v>
      </c>
      <c r="D16" s="8" t="s">
        <v>108</v>
      </c>
    </row>
    <row r="18" customFormat="false" ht="15" hidden="false" customHeight="false" outlineLevel="0" collapsed="false">
      <c r="A18" s="13" t="s">
        <v>1399</v>
      </c>
      <c r="B18" s="2" t="s">
        <v>29</v>
      </c>
    </row>
    <row r="19" customFormat="false" ht="15" hidden="false" customHeight="false" outlineLevel="0" collapsed="false">
      <c r="A19" s="3" t="s">
        <v>1400</v>
      </c>
      <c r="B19" s="3" t="s">
        <v>1372</v>
      </c>
      <c r="C19" s="3" t="s">
        <v>1401</v>
      </c>
    </row>
    <row r="20" customFormat="false" ht="15" hidden="false" customHeight="false" outlineLevel="0" collapsed="false">
      <c r="A20" s="8" t="s">
        <v>1402</v>
      </c>
      <c r="B20" s="8" t="s">
        <v>1403</v>
      </c>
      <c r="C20" s="8" t="s">
        <v>103</v>
      </c>
    </row>
    <row r="21" customFormat="false" ht="15" hidden="false" customHeight="false" outlineLevel="0" collapsed="false">
      <c r="A21" s="8" t="s">
        <v>1404</v>
      </c>
      <c r="B21" s="8" t="s">
        <v>1405</v>
      </c>
      <c r="C21" s="8" t="s">
        <v>103</v>
      </c>
    </row>
    <row r="23" customFormat="false" ht="15" hidden="false" customHeight="false" outlineLevel="0" collapsed="false">
      <c r="A23" s="13" t="s">
        <v>1406</v>
      </c>
      <c r="B23" s="2" t="s">
        <v>33</v>
      </c>
    </row>
    <row r="24" customFormat="false" ht="15" hidden="false" customHeight="false" outlineLevel="0" collapsed="false">
      <c r="A24" s="3" t="s">
        <v>1407</v>
      </c>
      <c r="B24" s="3" t="s">
        <v>1408</v>
      </c>
      <c r="C24" s="3" t="s">
        <v>1409</v>
      </c>
      <c r="D24" s="3" t="s">
        <v>1410</v>
      </c>
      <c r="E24" s="3" t="s">
        <v>6</v>
      </c>
    </row>
    <row r="25" customFormat="false" ht="15" hidden="false" customHeight="false" outlineLevel="0" collapsed="false">
      <c r="A25" s="8" t="s">
        <v>1411</v>
      </c>
      <c r="B25" s="8" t="s">
        <v>1412</v>
      </c>
      <c r="C25" s="8" t="s">
        <v>1413</v>
      </c>
      <c r="D25" s="8" t="s">
        <v>1414</v>
      </c>
      <c r="E25" s="8" t="s">
        <v>1415</v>
      </c>
    </row>
    <row r="26" customFormat="false" ht="15" hidden="false" customHeight="false" outlineLevel="0" collapsed="false">
      <c r="A26" s="8" t="s">
        <v>1416</v>
      </c>
      <c r="B26" s="8" t="s">
        <v>1417</v>
      </c>
      <c r="C26" s="8" t="s">
        <v>1413</v>
      </c>
      <c r="D26" s="8" t="s">
        <v>1414</v>
      </c>
      <c r="E26" s="8" t="s">
        <v>1418</v>
      </c>
    </row>
    <row r="27" customFormat="false" ht="15" hidden="false" customHeight="false" outlineLevel="0" collapsed="false">
      <c r="A27" s="8" t="s">
        <v>1419</v>
      </c>
      <c r="B27" s="8" t="s">
        <v>1420</v>
      </c>
      <c r="C27" s="8" t="s">
        <v>1413</v>
      </c>
      <c r="D27" s="8" t="s">
        <v>1414</v>
      </c>
      <c r="E27" s="8" t="s">
        <v>1421</v>
      </c>
    </row>
    <row r="28" customFormat="false" ht="15" hidden="false" customHeight="false" outlineLevel="0" collapsed="false">
      <c r="A28" s="8" t="s">
        <v>1422</v>
      </c>
      <c r="B28" s="8" t="s">
        <v>1420</v>
      </c>
      <c r="C28" s="8" t="s">
        <v>1413</v>
      </c>
      <c r="D28" s="8" t="s">
        <v>1414</v>
      </c>
      <c r="E28" s="8" t="s">
        <v>1423</v>
      </c>
    </row>
    <row r="29" customFormat="false" ht="15" hidden="false" customHeight="false" outlineLevel="0" collapsed="false">
      <c r="A29" s="8" t="s">
        <v>1424</v>
      </c>
      <c r="B29" s="8" t="s">
        <v>1425</v>
      </c>
      <c r="C29" s="8" t="s">
        <v>1413</v>
      </c>
      <c r="D29" s="8" t="s">
        <v>1414</v>
      </c>
      <c r="E29" s="8" t="s">
        <v>1426</v>
      </c>
    </row>
    <row r="30" customFormat="false" ht="15" hidden="false" customHeight="false" outlineLevel="0" collapsed="false">
      <c r="A30" s="8" t="s">
        <v>1427</v>
      </c>
      <c r="B30" s="8" t="s">
        <v>1428</v>
      </c>
      <c r="C30" s="8" t="s">
        <v>1413</v>
      </c>
      <c r="D30" s="8" t="s">
        <v>1414</v>
      </c>
      <c r="E30" s="8" t="s">
        <v>1429</v>
      </c>
    </row>
    <row r="31" customFormat="false" ht="15" hidden="false" customHeight="false" outlineLevel="0" collapsed="false">
      <c r="A31" s="8" t="s">
        <v>1430</v>
      </c>
      <c r="B31" s="8" t="s">
        <v>1431</v>
      </c>
      <c r="C31" s="8" t="s">
        <v>1413</v>
      </c>
      <c r="D31" s="8" t="s">
        <v>1414</v>
      </c>
      <c r="E31" s="8" t="s">
        <v>1432</v>
      </c>
    </row>
    <row r="32" customFormat="false" ht="15" hidden="false" customHeight="false" outlineLevel="0" collapsed="false">
      <c r="A32" s="8" t="s">
        <v>1433</v>
      </c>
      <c r="B32" s="8" t="s">
        <v>1434</v>
      </c>
      <c r="C32" s="8" t="s">
        <v>1413</v>
      </c>
      <c r="D32" s="8" t="s">
        <v>1414</v>
      </c>
      <c r="E32" s="8" t="s">
        <v>1435</v>
      </c>
    </row>
    <row r="33" customFormat="false" ht="15" hidden="false" customHeight="false" outlineLevel="0" collapsed="false">
      <c r="A33" s="8" t="s">
        <v>1436</v>
      </c>
      <c r="B33" s="8" t="s">
        <v>1437</v>
      </c>
      <c r="C33" s="8" t="s">
        <v>1413</v>
      </c>
      <c r="D33" s="8" t="s">
        <v>1414</v>
      </c>
      <c r="E33" s="8" t="s">
        <v>1438</v>
      </c>
    </row>
    <row r="34" customFormat="false" ht="15" hidden="false" customHeight="false" outlineLevel="0" collapsed="false">
      <c r="A34" s="8" t="s">
        <v>1439</v>
      </c>
      <c r="B34" s="8" t="s">
        <v>1440</v>
      </c>
      <c r="C34" s="8" t="s">
        <v>1413</v>
      </c>
      <c r="D34" s="8" t="s">
        <v>1414</v>
      </c>
      <c r="E34" s="8" t="s">
        <v>1441</v>
      </c>
    </row>
    <row r="35" customFormat="false" ht="15" hidden="false" customHeight="false" outlineLevel="0" collapsed="false">
      <c r="A35" s="8" t="s">
        <v>1442</v>
      </c>
      <c r="B35" s="8" t="s">
        <v>1420</v>
      </c>
      <c r="C35" s="8" t="s">
        <v>1413</v>
      </c>
      <c r="D35" s="8" t="s">
        <v>1443</v>
      </c>
      <c r="E35" s="8" t="s">
        <v>1444</v>
      </c>
    </row>
    <row r="36" customFormat="false" ht="15" hidden="false" customHeight="false" outlineLevel="0" collapsed="false">
      <c r="A36" s="8" t="s">
        <v>1445</v>
      </c>
      <c r="B36" s="8" t="s">
        <v>1446</v>
      </c>
      <c r="C36" s="8" t="s">
        <v>1443</v>
      </c>
      <c r="D36" s="8" t="s">
        <v>1447</v>
      </c>
      <c r="E36" s="8" t="s">
        <v>1448</v>
      </c>
    </row>
    <row r="37" customFormat="false" ht="15" hidden="false" customHeight="false" outlineLevel="0" collapsed="false">
      <c r="A37" s="8" t="s">
        <v>1449</v>
      </c>
      <c r="B37" s="8" t="s">
        <v>1450</v>
      </c>
      <c r="C37" s="8" t="s">
        <v>1443</v>
      </c>
      <c r="D37" s="8" t="s">
        <v>1447</v>
      </c>
      <c r="E37" s="8" t="s">
        <v>1451</v>
      </c>
    </row>
    <row r="38" customFormat="false" ht="15" hidden="false" customHeight="false" outlineLevel="0" collapsed="false">
      <c r="A38" s="8" t="s">
        <v>1452</v>
      </c>
      <c r="B38" s="8" t="s">
        <v>1453</v>
      </c>
      <c r="C38" s="8" t="s">
        <v>1414</v>
      </c>
      <c r="D38" s="8" t="s">
        <v>1443</v>
      </c>
      <c r="E38" s="8" t="s">
        <v>1454</v>
      </c>
    </row>
    <row r="39" customFormat="false" ht="15" hidden="false" customHeight="false" outlineLevel="0" collapsed="false">
      <c r="A39" s="8" t="s">
        <v>1455</v>
      </c>
      <c r="B39" s="8" t="s">
        <v>1456</v>
      </c>
      <c r="C39" s="8" t="s">
        <v>1414</v>
      </c>
      <c r="D39" s="8" t="s">
        <v>1457</v>
      </c>
      <c r="E39" s="8" t="s">
        <v>1458</v>
      </c>
    </row>
    <row r="40" customFormat="false" ht="15" hidden="false" customHeight="false" outlineLevel="0" collapsed="false">
      <c r="A40" s="8" t="s">
        <v>1459</v>
      </c>
      <c r="B40" s="8" t="s">
        <v>1460</v>
      </c>
      <c r="C40" s="8" t="s">
        <v>1447</v>
      </c>
      <c r="D40" s="8" t="s">
        <v>1443</v>
      </c>
      <c r="E40" s="8" t="s">
        <v>1461</v>
      </c>
    </row>
    <row r="41" customFormat="false" ht="15" hidden="false" customHeight="false" outlineLevel="0" collapsed="false">
      <c r="A41" s="8" t="s">
        <v>1462</v>
      </c>
      <c r="B41" s="8" t="s">
        <v>1463</v>
      </c>
      <c r="C41" s="8" t="s">
        <v>1464</v>
      </c>
      <c r="D41" s="8" t="s">
        <v>1443</v>
      </c>
      <c r="E41" s="8" t="s">
        <v>1465</v>
      </c>
    </row>
    <row r="42" customFormat="false" ht="15" hidden="false" customHeight="false" outlineLevel="0" collapsed="false">
      <c r="A42" s="8" t="s">
        <v>1466</v>
      </c>
      <c r="B42" s="8" t="s">
        <v>1467</v>
      </c>
      <c r="C42" s="8" t="s">
        <v>1464</v>
      </c>
      <c r="D42" s="8" t="s">
        <v>1443</v>
      </c>
      <c r="E42" s="8" t="s">
        <v>1468</v>
      </c>
    </row>
    <row r="43" customFormat="false" ht="15" hidden="false" customHeight="false" outlineLevel="0" collapsed="false">
      <c r="A43" s="8" t="s">
        <v>1469</v>
      </c>
      <c r="B43" s="8" t="s">
        <v>1470</v>
      </c>
      <c r="C43" s="8" t="s">
        <v>1443</v>
      </c>
      <c r="D43" s="8" t="s">
        <v>1457</v>
      </c>
      <c r="E43" s="8" t="s">
        <v>1471</v>
      </c>
    </row>
    <row r="44" customFormat="false" ht="15" hidden="false" customHeight="false" outlineLevel="0" collapsed="false">
      <c r="A44" s="8" t="s">
        <v>1472</v>
      </c>
      <c r="B44" s="8" t="s">
        <v>1473</v>
      </c>
      <c r="C44" s="8" t="s">
        <v>1414</v>
      </c>
      <c r="D44" s="8" t="s">
        <v>1443</v>
      </c>
      <c r="E44" s="8" t="s">
        <v>1474</v>
      </c>
    </row>
    <row r="45" customFormat="false" ht="15" hidden="false" customHeight="false" outlineLevel="0" collapsed="false">
      <c r="A45" s="8" t="s">
        <v>1475</v>
      </c>
      <c r="B45" s="8" t="s">
        <v>1476</v>
      </c>
      <c r="C45" s="8" t="s">
        <v>1414</v>
      </c>
      <c r="D45" s="8" t="s">
        <v>1447</v>
      </c>
      <c r="E45" s="8" t="s">
        <v>1477</v>
      </c>
    </row>
    <row r="46" customFormat="false" ht="15" hidden="false" customHeight="false" outlineLevel="0" collapsed="false">
      <c r="A46" s="8" t="s">
        <v>1478</v>
      </c>
      <c r="B46" s="8" t="s">
        <v>1479</v>
      </c>
      <c r="C46" s="8" t="s">
        <v>1414</v>
      </c>
      <c r="D46" s="8" t="s">
        <v>1457</v>
      </c>
      <c r="E46" s="8" t="s">
        <v>1480</v>
      </c>
    </row>
    <row r="47" customFormat="false" ht="15" hidden="false" customHeight="false" outlineLevel="0" collapsed="false">
      <c r="A47" s="8" t="s">
        <v>1481</v>
      </c>
      <c r="B47" s="8" t="s">
        <v>1482</v>
      </c>
      <c r="C47" s="8" t="s">
        <v>1457</v>
      </c>
      <c r="D47" s="8" t="s">
        <v>1443</v>
      </c>
      <c r="E47" s="8" t="s">
        <v>1483</v>
      </c>
    </row>
    <row r="48" customFormat="false" ht="15" hidden="false" customHeight="false" outlineLevel="0" collapsed="false">
      <c r="A48" s="8" t="s">
        <v>1484</v>
      </c>
      <c r="B48" s="8" t="s">
        <v>1485</v>
      </c>
      <c r="C48" s="8" t="s">
        <v>1464</v>
      </c>
      <c r="D48" s="8" t="s">
        <v>1443</v>
      </c>
      <c r="E48" s="8" t="s">
        <v>1486</v>
      </c>
    </row>
    <row r="49" customFormat="false" ht="15" hidden="false" customHeight="false" outlineLevel="0" collapsed="false">
      <c r="A49" s="8" t="s">
        <v>1487</v>
      </c>
      <c r="B49" s="8" t="s">
        <v>1488</v>
      </c>
      <c r="C49" s="8" t="s">
        <v>1464</v>
      </c>
      <c r="D49" s="8" t="s">
        <v>1443</v>
      </c>
      <c r="E49" s="8" t="s">
        <v>1489</v>
      </c>
    </row>
    <row r="50" customFormat="false" ht="15" hidden="false" customHeight="false" outlineLevel="0" collapsed="false">
      <c r="A50" s="8" t="s">
        <v>1490</v>
      </c>
      <c r="B50" s="8" t="s">
        <v>1491</v>
      </c>
      <c r="C50" s="8" t="s">
        <v>1457</v>
      </c>
      <c r="D50" s="8" t="s">
        <v>1447</v>
      </c>
      <c r="E50" s="8" t="s">
        <v>1492</v>
      </c>
    </row>
    <row r="51" customFormat="false" ht="15" hidden="false" customHeight="false" outlineLevel="0" collapsed="false">
      <c r="A51" s="8" t="s">
        <v>1493</v>
      </c>
      <c r="B51" s="8" t="s">
        <v>1494</v>
      </c>
      <c r="C51" s="8" t="s">
        <v>1447</v>
      </c>
      <c r="D51" s="8" t="s">
        <v>1443</v>
      </c>
      <c r="E51" s="8" t="s">
        <v>1495</v>
      </c>
    </row>
    <row r="52" customFormat="false" ht="15" hidden="false" customHeight="false" outlineLevel="0" collapsed="false">
      <c r="A52" s="8" t="s">
        <v>1496</v>
      </c>
      <c r="B52" s="8" t="s">
        <v>1494</v>
      </c>
      <c r="C52" s="8" t="s">
        <v>1447</v>
      </c>
      <c r="D52" s="8" t="s">
        <v>1457</v>
      </c>
      <c r="E52" s="8" t="s">
        <v>1497</v>
      </c>
    </row>
    <row r="53" customFormat="false" ht="15" hidden="false" customHeight="false" outlineLevel="0" collapsed="false">
      <c r="A53" s="8" t="s">
        <v>1498</v>
      </c>
      <c r="B53" s="8" t="s">
        <v>1499</v>
      </c>
      <c r="C53" s="8" t="s">
        <v>1447</v>
      </c>
      <c r="D53" s="8" t="s">
        <v>1457</v>
      </c>
      <c r="E53" s="8" t="s">
        <v>1500</v>
      </c>
    </row>
    <row r="54" customFormat="false" ht="15" hidden="false" customHeight="false" outlineLevel="0" collapsed="false">
      <c r="A54" s="8" t="s">
        <v>1501</v>
      </c>
      <c r="B54" s="8" t="s">
        <v>1502</v>
      </c>
      <c r="C54" s="8" t="s">
        <v>1443</v>
      </c>
      <c r="D54" s="8" t="s">
        <v>1457</v>
      </c>
      <c r="E54" s="8" t="s">
        <v>1503</v>
      </c>
    </row>
    <row r="56" customFormat="false" ht="15" hidden="false" customHeight="false" outlineLevel="0" collapsed="false">
      <c r="A56" s="13" t="s">
        <v>1504</v>
      </c>
      <c r="B56" s="2" t="s">
        <v>31</v>
      </c>
    </row>
    <row r="57" customFormat="false" ht="15" hidden="false" customHeight="false" outlineLevel="0" collapsed="false">
      <c r="A57" s="3" t="s">
        <v>1370</v>
      </c>
      <c r="B57" s="3" t="s">
        <v>1371</v>
      </c>
      <c r="C57" s="3" t="s">
        <v>1372</v>
      </c>
      <c r="D57" s="3" t="s">
        <v>1401</v>
      </c>
    </row>
    <row r="58" customFormat="false" ht="23.85" hidden="false" customHeight="false" outlineLevel="0" collapsed="false">
      <c r="A58" s="8" t="s">
        <v>1505</v>
      </c>
      <c r="B58" s="8" t="s">
        <v>1506</v>
      </c>
      <c r="C58" s="8" t="s">
        <v>1507</v>
      </c>
      <c r="D58" s="8" t="s">
        <v>1508</v>
      </c>
    </row>
    <row r="59" customFormat="false" ht="15" hidden="false" customHeight="false" outlineLevel="0" collapsed="false">
      <c r="A59" s="8" t="s">
        <v>1509</v>
      </c>
      <c r="B59" s="8" t="s">
        <v>1510</v>
      </c>
      <c r="C59" s="8" t="s">
        <v>1511</v>
      </c>
      <c r="D59" s="8" t="s">
        <v>377</v>
      </c>
    </row>
    <row r="60" customFormat="false" ht="15" hidden="false" customHeight="false" outlineLevel="0" collapsed="false">
      <c r="A60" s="8" t="s">
        <v>1512</v>
      </c>
      <c r="B60" s="8" t="s">
        <v>1513</v>
      </c>
      <c r="C60" s="8" t="s">
        <v>1511</v>
      </c>
      <c r="D60" s="8" t="s">
        <v>381</v>
      </c>
    </row>
    <row r="61" customFormat="false" ht="15" hidden="false" customHeight="false" outlineLevel="0" collapsed="false">
      <c r="A61" s="8" t="s">
        <v>1514</v>
      </c>
      <c r="B61" s="8" t="s">
        <v>1515</v>
      </c>
      <c r="C61" s="8" t="s">
        <v>1516</v>
      </c>
      <c r="D61" s="8" t="s">
        <v>393</v>
      </c>
    </row>
    <row r="62" customFormat="false" ht="15" hidden="false" customHeight="false" outlineLevel="0" collapsed="false">
      <c r="A62" s="8" t="s">
        <v>1517</v>
      </c>
      <c r="B62" s="8" t="s">
        <v>1518</v>
      </c>
      <c r="C62" s="8" t="s">
        <v>1519</v>
      </c>
      <c r="D62" s="8" t="s">
        <v>484</v>
      </c>
    </row>
    <row r="63" customFormat="false" ht="15" hidden="false" customHeight="false" outlineLevel="0" collapsed="false">
      <c r="A63" s="8" t="s">
        <v>1520</v>
      </c>
      <c r="B63" s="8" t="s">
        <v>1521</v>
      </c>
      <c r="C63" s="8" t="s">
        <v>1522</v>
      </c>
      <c r="D63" s="8" t="s">
        <v>489</v>
      </c>
    </row>
    <row r="65" customFormat="false" ht="15" hidden="false" customHeight="false" outlineLevel="0" collapsed="false">
      <c r="A65" s="13" t="s">
        <v>1523</v>
      </c>
      <c r="B65" s="2" t="s">
        <v>29</v>
      </c>
    </row>
    <row r="66" customFormat="false" ht="15" hidden="false" customHeight="false" outlineLevel="0" collapsed="false">
      <c r="A66" s="3" t="s">
        <v>1524</v>
      </c>
      <c r="B66" s="3" t="s">
        <v>1525</v>
      </c>
      <c r="C66" s="3" t="s">
        <v>1372</v>
      </c>
      <c r="D66" s="3" t="s">
        <v>1401</v>
      </c>
    </row>
    <row r="67" customFormat="false" ht="15" hidden="false" customHeight="false" outlineLevel="0" collapsed="false">
      <c r="A67" s="8" t="s">
        <v>1526</v>
      </c>
      <c r="B67" s="8" t="s">
        <v>1527</v>
      </c>
      <c r="C67" s="8" t="s">
        <v>1511</v>
      </c>
      <c r="D67" s="8" t="s">
        <v>377</v>
      </c>
    </row>
    <row r="68" customFormat="false" ht="15" hidden="false" customHeight="false" outlineLevel="0" collapsed="false">
      <c r="A68" s="8" t="s">
        <v>1526</v>
      </c>
      <c r="B68" s="8" t="s">
        <v>1528</v>
      </c>
      <c r="C68" s="8" t="s">
        <v>1529</v>
      </c>
      <c r="D68" s="8" t="s">
        <v>385</v>
      </c>
    </row>
    <row r="69" customFormat="false" ht="15" hidden="false" customHeight="false" outlineLevel="0" collapsed="false">
      <c r="A69" s="8" t="s">
        <v>1526</v>
      </c>
      <c r="B69" s="8" t="s">
        <v>1530</v>
      </c>
      <c r="C69" s="8" t="s">
        <v>1529</v>
      </c>
      <c r="D69" s="8" t="s">
        <v>389</v>
      </c>
    </row>
    <row r="70" customFormat="false" ht="15" hidden="false" customHeight="false" outlineLevel="0" collapsed="false">
      <c r="A70" s="8" t="s">
        <v>1526</v>
      </c>
      <c r="B70" s="8" t="s">
        <v>1531</v>
      </c>
      <c r="C70" s="8" t="s">
        <v>1516</v>
      </c>
      <c r="D70" s="8" t="s">
        <v>393</v>
      </c>
    </row>
    <row r="71" customFormat="false" ht="15" hidden="false" customHeight="false" outlineLevel="0" collapsed="false">
      <c r="A71" s="8" t="s">
        <v>1532</v>
      </c>
      <c r="B71" s="8" t="s">
        <v>1533</v>
      </c>
      <c r="C71" s="8" t="s">
        <v>1534</v>
      </c>
      <c r="D71" s="8" t="s">
        <v>401</v>
      </c>
    </row>
    <row r="72" customFormat="false" ht="15" hidden="false" customHeight="false" outlineLevel="0" collapsed="false">
      <c r="A72" s="8" t="s">
        <v>1532</v>
      </c>
      <c r="B72" s="8" t="s">
        <v>1535</v>
      </c>
      <c r="C72" s="8" t="s">
        <v>1529</v>
      </c>
      <c r="D72" s="8" t="s">
        <v>406</v>
      </c>
    </row>
    <row r="73" customFormat="false" ht="15" hidden="false" customHeight="false" outlineLevel="0" collapsed="false">
      <c r="A73" s="8" t="s">
        <v>1532</v>
      </c>
      <c r="B73" s="8" t="s">
        <v>1536</v>
      </c>
      <c r="C73" s="8" t="s">
        <v>1529</v>
      </c>
      <c r="D73" s="8" t="s">
        <v>410</v>
      </c>
    </row>
    <row r="74" customFormat="false" ht="15" hidden="false" customHeight="false" outlineLevel="0" collapsed="false">
      <c r="A74" s="8" t="s">
        <v>1532</v>
      </c>
      <c r="B74" s="8" t="s">
        <v>1537</v>
      </c>
      <c r="C74" s="8" t="s">
        <v>1534</v>
      </c>
      <c r="D74" s="8" t="s">
        <v>414</v>
      </c>
    </row>
    <row r="76" customFormat="false" ht="15" hidden="false" customHeight="false" outlineLevel="0" collapsed="false">
      <c r="A76" s="13" t="s">
        <v>1538</v>
      </c>
      <c r="B76" s="2" t="s">
        <v>31</v>
      </c>
    </row>
    <row r="77" customFormat="false" ht="15" hidden="false" customHeight="false" outlineLevel="0" collapsed="false">
      <c r="A77" s="3" t="s">
        <v>1370</v>
      </c>
      <c r="B77" s="3" t="s">
        <v>1371</v>
      </c>
      <c r="C77" s="3" t="s">
        <v>1372</v>
      </c>
      <c r="D77" s="3" t="s">
        <v>1401</v>
      </c>
    </row>
    <row r="78" customFormat="false" ht="15" hidden="false" customHeight="false" outlineLevel="0" collapsed="false">
      <c r="A78" s="8" t="s">
        <v>1539</v>
      </c>
      <c r="B78" s="8" t="s">
        <v>1510</v>
      </c>
      <c r="C78" s="8" t="s">
        <v>1507</v>
      </c>
      <c r="D78" s="8" t="s">
        <v>372</v>
      </c>
    </row>
    <row r="79" customFormat="false" ht="15" hidden="false" customHeight="false" outlineLevel="0" collapsed="false">
      <c r="A79" s="8" t="s">
        <v>1540</v>
      </c>
      <c r="B79" s="8" t="s">
        <v>1541</v>
      </c>
      <c r="C79" s="8" t="s">
        <v>1529</v>
      </c>
      <c r="D79" s="8" t="s">
        <v>406</v>
      </c>
    </row>
    <row r="80" customFormat="false" ht="15" hidden="false" customHeight="false" outlineLevel="0" collapsed="false">
      <c r="A80" s="8" t="s">
        <v>1542</v>
      </c>
      <c r="B80" s="8" t="s">
        <v>1543</v>
      </c>
      <c r="C80" s="8" t="s">
        <v>1544</v>
      </c>
      <c r="D80" s="8" t="s">
        <v>422</v>
      </c>
    </row>
    <row r="81" customFormat="false" ht="15" hidden="false" customHeight="false" outlineLevel="0" collapsed="false">
      <c r="A81" s="8" t="s">
        <v>1545</v>
      </c>
      <c r="B81" s="8" t="s">
        <v>1546</v>
      </c>
      <c r="C81" s="8" t="s">
        <v>1529</v>
      </c>
      <c r="D81" s="8" t="s">
        <v>426</v>
      </c>
    </row>
    <row r="82" customFormat="false" ht="15" hidden="false" customHeight="false" outlineLevel="0" collapsed="false">
      <c r="A82" s="8" t="s">
        <v>1547</v>
      </c>
      <c r="B82" s="8" t="s">
        <v>1548</v>
      </c>
      <c r="C82" s="8" t="s">
        <v>1549</v>
      </c>
      <c r="D82" s="8" t="s">
        <v>418</v>
      </c>
    </row>
    <row r="83" customFormat="false" ht="15" hidden="false" customHeight="false" outlineLevel="0" collapsed="false">
      <c r="A83" s="8" t="s">
        <v>1550</v>
      </c>
      <c r="B83" s="8" t="s">
        <v>1551</v>
      </c>
      <c r="C83" s="8" t="s">
        <v>1552</v>
      </c>
      <c r="D83" s="8" t="s">
        <v>443</v>
      </c>
    </row>
    <row r="84" customFormat="false" ht="15" hidden="false" customHeight="false" outlineLevel="0" collapsed="false">
      <c r="A84" s="8" t="s">
        <v>1553</v>
      </c>
      <c r="B84" s="8" t="s">
        <v>1554</v>
      </c>
      <c r="C84" s="8" t="s">
        <v>1552</v>
      </c>
      <c r="D84" s="8" t="s">
        <v>448</v>
      </c>
    </row>
    <row r="86" customFormat="false" ht="15" hidden="false" customHeight="false" outlineLevel="0" collapsed="false">
      <c r="A86" s="13" t="s">
        <v>1555</v>
      </c>
      <c r="B86" s="2" t="s">
        <v>30</v>
      </c>
    </row>
    <row r="87" customFormat="false" ht="15" hidden="false" customHeight="false" outlineLevel="0" collapsed="false">
      <c r="A87" s="3" t="s">
        <v>1556</v>
      </c>
      <c r="B87" s="3" t="s">
        <v>1557</v>
      </c>
      <c r="C87" s="3" t="s">
        <v>1372</v>
      </c>
      <c r="D87" s="3" t="s">
        <v>1401</v>
      </c>
    </row>
    <row r="88" customFormat="false" ht="23.85" hidden="false" customHeight="false" outlineLevel="0" collapsed="false">
      <c r="A88" s="8" t="s">
        <v>1558</v>
      </c>
      <c r="B88" s="8" t="s">
        <v>1559</v>
      </c>
      <c r="C88" s="8" t="s">
        <v>1560</v>
      </c>
      <c r="D88" s="8" t="s">
        <v>430</v>
      </c>
    </row>
    <row r="89" customFormat="false" ht="15" hidden="false" customHeight="false" outlineLevel="0" collapsed="false">
      <c r="A89" s="8" t="s">
        <v>1558</v>
      </c>
      <c r="B89" s="8" t="s">
        <v>1558</v>
      </c>
      <c r="C89" s="8" t="s">
        <v>1507</v>
      </c>
      <c r="D89" s="8" t="s">
        <v>435</v>
      </c>
    </row>
    <row r="90" customFormat="false" ht="15" hidden="false" customHeight="false" outlineLevel="0" collapsed="false">
      <c r="A90" s="8" t="s">
        <v>1559</v>
      </c>
      <c r="B90" s="8" t="s">
        <v>1561</v>
      </c>
      <c r="C90" s="8" t="s">
        <v>1507</v>
      </c>
      <c r="D90" s="8" t="s">
        <v>439</v>
      </c>
    </row>
    <row r="91" customFormat="false" ht="15" hidden="false" customHeight="false" outlineLevel="0" collapsed="false">
      <c r="A91" s="8" t="s">
        <v>1562</v>
      </c>
      <c r="B91" s="8" t="s">
        <v>1563</v>
      </c>
      <c r="C91" s="8" t="s">
        <v>1511</v>
      </c>
      <c r="D91" s="8" t="s">
        <v>397</v>
      </c>
    </row>
    <row r="93" customFormat="false" ht="15" hidden="false" customHeight="false" outlineLevel="0" collapsed="false">
      <c r="A93" s="13" t="s">
        <v>1564</v>
      </c>
      <c r="B93" s="2" t="s">
        <v>30</v>
      </c>
    </row>
    <row r="94" customFormat="false" ht="15" hidden="false" customHeight="false" outlineLevel="0" collapsed="false">
      <c r="A94" s="3" t="s">
        <v>1565</v>
      </c>
      <c r="B94" s="3" t="s">
        <v>1566</v>
      </c>
      <c r="C94" s="3" t="s">
        <v>1567</v>
      </c>
      <c r="D94" s="3" t="s">
        <v>1568</v>
      </c>
      <c r="E94" s="3" t="s">
        <v>1372</v>
      </c>
    </row>
    <row r="95" customFormat="false" ht="15" hidden="false" customHeight="false" outlineLevel="0" collapsed="false">
      <c r="A95" s="8" t="s">
        <v>1569</v>
      </c>
      <c r="B95" s="8" t="s">
        <v>1569</v>
      </c>
      <c r="C95" s="8" t="s">
        <v>1569</v>
      </c>
      <c r="D95" s="8" t="s">
        <v>1569</v>
      </c>
      <c r="E95" s="8" t="s">
        <v>1570</v>
      </c>
    </row>
    <row r="96" customFormat="false" ht="15" hidden="false" customHeight="false" outlineLevel="0" collapsed="false">
      <c r="A96" s="8" t="s">
        <v>1563</v>
      </c>
      <c r="B96" s="8" t="s">
        <v>1569</v>
      </c>
      <c r="C96" s="8" t="s">
        <v>1569</v>
      </c>
      <c r="D96" s="8" t="s">
        <v>1569</v>
      </c>
      <c r="E96" s="8" t="s">
        <v>1571</v>
      </c>
    </row>
    <row r="97" customFormat="false" ht="15" hidden="false" customHeight="false" outlineLevel="0" collapsed="false">
      <c r="A97" s="8" t="s">
        <v>1569</v>
      </c>
      <c r="B97" s="8" t="s">
        <v>1563</v>
      </c>
      <c r="C97" s="8" t="s">
        <v>1569</v>
      </c>
      <c r="D97" s="8" t="s">
        <v>1569</v>
      </c>
      <c r="E97" s="8" t="s">
        <v>1571</v>
      </c>
    </row>
    <row r="98" customFormat="false" ht="15" hidden="false" customHeight="false" outlineLevel="0" collapsed="false">
      <c r="A98" s="8" t="s">
        <v>1569</v>
      </c>
      <c r="B98" s="8" t="s">
        <v>1569</v>
      </c>
      <c r="C98" s="8" t="s">
        <v>1563</v>
      </c>
      <c r="D98" s="8" t="s">
        <v>1569</v>
      </c>
      <c r="E98" s="8" t="s">
        <v>1571</v>
      </c>
    </row>
    <row r="99" customFormat="false" ht="15" hidden="false" customHeight="false" outlineLevel="0" collapsed="false">
      <c r="A99" s="8" t="s">
        <v>1569</v>
      </c>
      <c r="B99" s="8" t="s">
        <v>1569</v>
      </c>
      <c r="C99" s="8" t="s">
        <v>1569</v>
      </c>
      <c r="D99" s="8" t="s">
        <v>1563</v>
      </c>
      <c r="E99" s="8" t="s">
        <v>1571</v>
      </c>
    </row>
    <row r="101" customFormat="false" ht="15" hidden="false" customHeight="false" outlineLevel="0" collapsed="false">
      <c r="A101" s="13" t="s">
        <v>1572</v>
      </c>
      <c r="B101" s="2" t="s">
        <v>34</v>
      </c>
    </row>
    <row r="102" customFormat="false" ht="15" hidden="false" customHeight="false" outlineLevel="0" collapsed="false">
      <c r="A102" s="3" t="s">
        <v>1388</v>
      </c>
      <c r="B102" s="3" t="s">
        <v>1389</v>
      </c>
      <c r="C102" s="3" t="s">
        <v>1390</v>
      </c>
      <c r="D102" s="3" t="s">
        <v>6</v>
      </c>
    </row>
    <row r="103" customFormat="false" ht="15" hidden="false" customHeight="false" outlineLevel="0" collapsed="false">
      <c r="A103" s="8" t="s">
        <v>1573</v>
      </c>
      <c r="B103" s="8" t="s">
        <v>1574</v>
      </c>
      <c r="C103" s="8" t="s">
        <v>1575</v>
      </c>
      <c r="D103" s="8" t="s">
        <v>519</v>
      </c>
    </row>
    <row r="104" customFormat="false" ht="15" hidden="false" customHeight="false" outlineLevel="0" collapsed="false">
      <c r="A104" s="8" t="s">
        <v>1575</v>
      </c>
      <c r="B104" s="8" t="s">
        <v>1576</v>
      </c>
      <c r="C104" s="8" t="s">
        <v>1577</v>
      </c>
      <c r="D104" s="8" t="s">
        <v>519</v>
      </c>
    </row>
    <row r="105" customFormat="false" ht="15" hidden="false" customHeight="false" outlineLevel="0" collapsed="false">
      <c r="A105" s="8" t="s">
        <v>1577</v>
      </c>
      <c r="B105" s="8" t="s">
        <v>1578</v>
      </c>
      <c r="C105" s="8" t="s">
        <v>1579</v>
      </c>
      <c r="D105" s="8" t="s">
        <v>533</v>
      </c>
    </row>
    <row r="106" customFormat="false" ht="15" hidden="false" customHeight="false" outlineLevel="0" collapsed="false">
      <c r="A106" s="8" t="s">
        <v>1577</v>
      </c>
      <c r="B106" s="8" t="s">
        <v>1580</v>
      </c>
      <c r="C106" s="8" t="s">
        <v>1581</v>
      </c>
      <c r="D106" s="8" t="s">
        <v>529</v>
      </c>
    </row>
    <row r="107" customFormat="false" ht="15" hidden="false" customHeight="false" outlineLevel="0" collapsed="false">
      <c r="A107" s="8" t="s">
        <v>1582</v>
      </c>
      <c r="B107" s="8" t="s">
        <v>1583</v>
      </c>
      <c r="C107" s="8" t="s">
        <v>1584</v>
      </c>
      <c r="D107" s="8" t="s">
        <v>524</v>
      </c>
    </row>
    <row r="108" customFormat="false" ht="15" hidden="false" customHeight="false" outlineLevel="0" collapsed="false">
      <c r="A108" s="8" t="s">
        <v>1582</v>
      </c>
      <c r="B108" s="8" t="s">
        <v>1585</v>
      </c>
      <c r="C108" s="8" t="s">
        <v>1586</v>
      </c>
      <c r="D108" s="8" t="s">
        <v>529</v>
      </c>
    </row>
    <row r="110" customFormat="false" ht="15" hidden="false" customHeight="false" outlineLevel="0" collapsed="false">
      <c r="A110" s="13" t="s">
        <v>1587</v>
      </c>
      <c r="B110" s="2" t="s">
        <v>31</v>
      </c>
    </row>
    <row r="111" customFormat="false" ht="15" hidden="false" customHeight="false" outlineLevel="0" collapsed="false">
      <c r="A111" s="3" t="s">
        <v>1370</v>
      </c>
      <c r="B111" s="3" t="s">
        <v>1588</v>
      </c>
      <c r="C111" s="3" t="s">
        <v>1589</v>
      </c>
      <c r="D111" s="3" t="s">
        <v>1401</v>
      </c>
    </row>
    <row r="112" customFormat="false" ht="15" hidden="false" customHeight="false" outlineLevel="0" collapsed="false">
      <c r="A112" s="8" t="s">
        <v>1590</v>
      </c>
      <c r="B112" s="8" t="s">
        <v>1591</v>
      </c>
      <c r="C112" s="8" t="s">
        <v>1592</v>
      </c>
      <c r="D112" s="8" t="s">
        <v>566</v>
      </c>
    </row>
    <row r="113" customFormat="false" ht="15" hidden="false" customHeight="false" outlineLevel="0" collapsed="false">
      <c r="A113" s="8" t="s">
        <v>1593</v>
      </c>
      <c r="B113" s="8" t="s">
        <v>1594</v>
      </c>
      <c r="C113" s="8" t="s">
        <v>1595</v>
      </c>
      <c r="D113" s="8" t="s">
        <v>573</v>
      </c>
    </row>
    <row r="114" customFormat="false" ht="15" hidden="false" customHeight="false" outlineLevel="0" collapsed="false">
      <c r="A114" s="8" t="s">
        <v>1596</v>
      </c>
      <c r="B114" s="8" t="s">
        <v>1597</v>
      </c>
      <c r="C114" s="8" t="s">
        <v>1598</v>
      </c>
      <c r="D114" s="8" t="s">
        <v>578</v>
      </c>
    </row>
    <row r="115" customFormat="false" ht="15" hidden="false" customHeight="false" outlineLevel="0" collapsed="false">
      <c r="A115" s="8" t="s">
        <v>1599</v>
      </c>
      <c r="B115" s="8" t="s">
        <v>1600</v>
      </c>
      <c r="C115" s="8" t="s">
        <v>1601</v>
      </c>
      <c r="D115" s="8" t="s">
        <v>583</v>
      </c>
    </row>
    <row r="116" customFormat="false" ht="15" hidden="false" customHeight="false" outlineLevel="0" collapsed="false">
      <c r="A116" s="8" t="s">
        <v>1602</v>
      </c>
      <c r="B116" s="8" t="s">
        <v>1603</v>
      </c>
      <c r="C116" s="8" t="s">
        <v>1604</v>
      </c>
      <c r="D116" s="8" t="s">
        <v>588</v>
      </c>
    </row>
    <row r="118" customFormat="false" ht="15" hidden="false" customHeight="false" outlineLevel="0" collapsed="false">
      <c r="A118" s="13" t="s">
        <v>1605</v>
      </c>
      <c r="B118" s="2" t="s">
        <v>29</v>
      </c>
    </row>
    <row r="119" customFormat="false" ht="15" hidden="false" customHeight="false" outlineLevel="0" collapsed="false">
      <c r="A119" s="3" t="s">
        <v>1525</v>
      </c>
      <c r="B119" s="3" t="s">
        <v>1372</v>
      </c>
      <c r="C119" s="3" t="s">
        <v>1401</v>
      </c>
    </row>
    <row r="120" customFormat="false" ht="23.85" hidden="false" customHeight="false" outlineLevel="0" collapsed="false">
      <c r="A120" s="8" t="s">
        <v>1606</v>
      </c>
      <c r="B120" s="8" t="s">
        <v>1607</v>
      </c>
      <c r="C120" s="8" t="s">
        <v>658</v>
      </c>
    </row>
    <row r="121" customFormat="false" ht="15" hidden="false" customHeight="false" outlineLevel="0" collapsed="false">
      <c r="A121" s="8" t="s">
        <v>1608</v>
      </c>
      <c r="B121" s="8" t="s">
        <v>1609</v>
      </c>
      <c r="C121" s="8" t="s">
        <v>643</v>
      </c>
    </row>
    <row r="122" customFormat="false" ht="15" hidden="false" customHeight="false" outlineLevel="0" collapsed="false">
      <c r="A122" s="8" t="s">
        <v>1610</v>
      </c>
      <c r="B122" s="8" t="s">
        <v>1611</v>
      </c>
      <c r="C122" s="8" t="s">
        <v>650</v>
      </c>
    </row>
    <row r="123" customFormat="false" ht="15" hidden="false" customHeight="false" outlineLevel="0" collapsed="false">
      <c r="A123" s="8" t="s">
        <v>1612</v>
      </c>
      <c r="B123" s="8" t="s">
        <v>1613</v>
      </c>
      <c r="C123" s="8" t="s">
        <v>654</v>
      </c>
    </row>
    <row r="124" customFormat="false" ht="23.85" hidden="false" customHeight="false" outlineLevel="0" collapsed="false">
      <c r="A124" s="8" t="s">
        <v>1614</v>
      </c>
      <c r="B124" s="8" t="s">
        <v>1615</v>
      </c>
      <c r="C124" s="8" t="s">
        <v>1616</v>
      </c>
    </row>
    <row r="125" customFormat="false" ht="15" hidden="false" customHeight="false" outlineLevel="0" collapsed="false">
      <c r="A125" s="8" t="s">
        <v>1617</v>
      </c>
      <c r="B125" s="8" t="s">
        <v>1618</v>
      </c>
      <c r="C125" s="8" t="s">
        <v>666</v>
      </c>
    </row>
    <row r="127" customFormat="false" ht="15" hidden="false" customHeight="false" outlineLevel="0" collapsed="false">
      <c r="A127" s="13" t="s">
        <v>1619</v>
      </c>
      <c r="B127" s="2" t="s">
        <v>29</v>
      </c>
    </row>
    <row r="128" customFormat="false" ht="15" hidden="false" customHeight="false" outlineLevel="0" collapsed="false">
      <c r="A128" s="3" t="s">
        <v>1620</v>
      </c>
      <c r="B128" s="3" t="s">
        <v>1372</v>
      </c>
      <c r="C128" s="3" t="s">
        <v>1401</v>
      </c>
    </row>
    <row r="129" customFormat="false" ht="15" hidden="false" customHeight="false" outlineLevel="0" collapsed="false">
      <c r="A129" s="8" t="s">
        <v>1621</v>
      </c>
      <c r="B129" s="8" t="s">
        <v>1592</v>
      </c>
      <c r="C129" s="8" t="s">
        <v>593</v>
      </c>
    </row>
    <row r="130" customFormat="false" ht="15" hidden="false" customHeight="false" outlineLevel="0" collapsed="false">
      <c r="A130" s="8" t="s">
        <v>1622</v>
      </c>
      <c r="B130" s="8" t="s">
        <v>1595</v>
      </c>
      <c r="C130" s="8" t="s">
        <v>1623</v>
      </c>
    </row>
    <row r="131" customFormat="false" ht="15" hidden="false" customHeight="false" outlineLevel="0" collapsed="false">
      <c r="A131" s="8" t="s">
        <v>1624</v>
      </c>
      <c r="B131" s="8" t="s">
        <v>1598</v>
      </c>
      <c r="C131" s="8" t="s">
        <v>593</v>
      </c>
    </row>
    <row r="133" customFormat="false" ht="15" hidden="false" customHeight="false" outlineLevel="0" collapsed="false">
      <c r="A133" s="13" t="s">
        <v>1625</v>
      </c>
      <c r="B133" s="2" t="s">
        <v>34</v>
      </c>
    </row>
    <row r="134" customFormat="false" ht="15" hidden="false" customHeight="false" outlineLevel="0" collapsed="false">
      <c r="A134" s="3" t="s">
        <v>1388</v>
      </c>
      <c r="B134" s="3" t="s">
        <v>1389</v>
      </c>
      <c r="C134" s="3" t="s">
        <v>1390</v>
      </c>
      <c r="D134" s="3" t="s">
        <v>6</v>
      </c>
    </row>
    <row r="135" customFormat="false" ht="15" hidden="false" customHeight="false" outlineLevel="0" collapsed="false">
      <c r="A135" s="8" t="s">
        <v>1563</v>
      </c>
      <c r="B135" s="8" t="s">
        <v>1626</v>
      </c>
      <c r="C135" s="8" t="s">
        <v>1627</v>
      </c>
      <c r="D135" s="8" t="s">
        <v>731</v>
      </c>
    </row>
    <row r="136" customFormat="false" ht="15" hidden="false" customHeight="false" outlineLevel="0" collapsed="false">
      <c r="A136" s="8" t="s">
        <v>1628</v>
      </c>
      <c r="B136" s="8" t="s">
        <v>1629</v>
      </c>
      <c r="C136" s="8" t="s">
        <v>1630</v>
      </c>
      <c r="D136" s="8" t="s">
        <v>1631</v>
      </c>
    </row>
    <row r="137" customFormat="false" ht="15" hidden="false" customHeight="false" outlineLevel="0" collapsed="false">
      <c r="A137" s="8" t="s">
        <v>1628</v>
      </c>
      <c r="B137" s="8" t="s">
        <v>1632</v>
      </c>
      <c r="C137" s="8" t="s">
        <v>1633</v>
      </c>
      <c r="D137" s="8" t="s">
        <v>735</v>
      </c>
    </row>
    <row r="138" customFormat="false" ht="23.85" hidden="false" customHeight="false" outlineLevel="0" collapsed="false">
      <c r="A138" s="8" t="s">
        <v>1634</v>
      </c>
      <c r="B138" s="8" t="s">
        <v>1635</v>
      </c>
      <c r="C138" s="8" t="s">
        <v>1628</v>
      </c>
      <c r="D138" s="8" t="s">
        <v>739</v>
      </c>
    </row>
    <row r="139" customFormat="false" ht="15" hidden="false" customHeight="false" outlineLevel="0" collapsed="false">
      <c r="A139" s="8" t="s">
        <v>1634</v>
      </c>
      <c r="B139" s="8" t="s">
        <v>1636</v>
      </c>
      <c r="C139" s="8" t="s">
        <v>1637</v>
      </c>
      <c r="D139" s="8" t="s">
        <v>748</v>
      </c>
    </row>
    <row r="140" customFormat="false" ht="23.85" hidden="false" customHeight="false" outlineLevel="0" collapsed="false">
      <c r="A140" s="8" t="s">
        <v>1637</v>
      </c>
      <c r="B140" s="8" t="s">
        <v>1638</v>
      </c>
      <c r="C140" s="8" t="s">
        <v>1639</v>
      </c>
      <c r="D140" s="8" t="s">
        <v>748</v>
      </c>
    </row>
    <row r="141" customFormat="false" ht="15" hidden="false" customHeight="false" outlineLevel="0" collapsed="false">
      <c r="A141" s="8" t="s">
        <v>1634</v>
      </c>
      <c r="B141" s="8" t="s">
        <v>1640</v>
      </c>
      <c r="C141" s="8" t="s">
        <v>1598</v>
      </c>
      <c r="D141" s="8" t="s">
        <v>703</v>
      </c>
    </row>
    <row r="142" customFormat="false" ht="15" hidden="false" customHeight="false" outlineLevel="0" collapsed="false">
      <c r="A142" s="8" t="s">
        <v>1634</v>
      </c>
      <c r="B142" s="8" t="s">
        <v>1641</v>
      </c>
      <c r="C142" s="8" t="s">
        <v>1642</v>
      </c>
      <c r="D142" s="8" t="s">
        <v>1643</v>
      </c>
    </row>
    <row r="144" customFormat="false" ht="15" hidden="false" customHeight="false" outlineLevel="0" collapsed="false">
      <c r="A144" s="13" t="s">
        <v>1644</v>
      </c>
      <c r="B144" s="2" t="s">
        <v>30</v>
      </c>
    </row>
    <row r="145" customFormat="false" ht="15" hidden="false" customHeight="false" outlineLevel="0" collapsed="false">
      <c r="A145" s="3" t="s">
        <v>1645</v>
      </c>
      <c r="B145" s="3" t="s">
        <v>1646</v>
      </c>
      <c r="C145" s="3" t="s">
        <v>1647</v>
      </c>
      <c r="D145" s="3" t="s">
        <v>1372</v>
      </c>
    </row>
    <row r="146" customFormat="false" ht="23.85" hidden="false" customHeight="false" outlineLevel="0" collapsed="false">
      <c r="A146" s="8" t="s">
        <v>1559</v>
      </c>
      <c r="B146" s="8" t="s">
        <v>1559</v>
      </c>
      <c r="C146" s="8" t="s">
        <v>1559</v>
      </c>
      <c r="D146" s="8" t="s">
        <v>1648</v>
      </c>
    </row>
    <row r="147" customFormat="false" ht="15" hidden="false" customHeight="false" outlineLevel="0" collapsed="false">
      <c r="A147" s="8" t="s">
        <v>1558</v>
      </c>
      <c r="B147" s="8" t="s">
        <v>1563</v>
      </c>
      <c r="C147" s="8" t="s">
        <v>1563</v>
      </c>
      <c r="D147" s="8" t="s">
        <v>1649</v>
      </c>
    </row>
    <row r="148" customFormat="false" ht="15" hidden="false" customHeight="false" outlineLevel="0" collapsed="false">
      <c r="A148" s="8" t="s">
        <v>1563</v>
      </c>
      <c r="B148" s="8" t="s">
        <v>1558</v>
      </c>
      <c r="C148" s="8" t="s">
        <v>1563</v>
      </c>
      <c r="D148" s="8" t="s">
        <v>1650</v>
      </c>
    </row>
    <row r="149" customFormat="false" ht="15" hidden="false" customHeight="false" outlineLevel="0" collapsed="false">
      <c r="A149" s="8" t="s">
        <v>1563</v>
      </c>
      <c r="B149" s="8" t="s">
        <v>1563</v>
      </c>
      <c r="C149" s="8" t="s">
        <v>1558</v>
      </c>
      <c r="D149" s="8" t="s">
        <v>1650</v>
      </c>
    </row>
    <row r="151" customFormat="false" ht="15" hidden="false" customHeight="false" outlineLevel="0" collapsed="false">
      <c r="A151" s="13" t="s">
        <v>1651</v>
      </c>
      <c r="B151" s="2" t="s">
        <v>30</v>
      </c>
    </row>
    <row r="152" customFormat="false" ht="15" hidden="false" customHeight="false" outlineLevel="0" collapsed="false">
      <c r="A152" s="3" t="s">
        <v>1652</v>
      </c>
      <c r="B152" s="3" t="s">
        <v>1653</v>
      </c>
      <c r="C152" s="3" t="s">
        <v>1654</v>
      </c>
      <c r="D152" s="3" t="s">
        <v>1655</v>
      </c>
      <c r="E152" s="3" t="s">
        <v>1656</v>
      </c>
      <c r="F152" s="3" t="s">
        <v>1657</v>
      </c>
      <c r="G152" s="3" t="s">
        <v>1658</v>
      </c>
      <c r="H152" s="3" t="s">
        <v>1372</v>
      </c>
      <c r="I152" s="3" t="s">
        <v>1401</v>
      </c>
    </row>
    <row r="153" customFormat="false" ht="15" hidden="false" customHeight="false" outlineLevel="0" collapsed="false">
      <c r="A153" s="8" t="s">
        <v>1659</v>
      </c>
      <c r="B153" s="8" t="s">
        <v>1659</v>
      </c>
      <c r="C153" s="8" t="s">
        <v>1659</v>
      </c>
      <c r="D153" s="8" t="s">
        <v>1659</v>
      </c>
      <c r="E153" s="8" t="s">
        <v>1659</v>
      </c>
      <c r="F153" s="8" t="s">
        <v>1659</v>
      </c>
      <c r="G153" s="8" t="s">
        <v>1659</v>
      </c>
      <c r="H153" s="8" t="s">
        <v>1660</v>
      </c>
      <c r="I153" s="8" t="s">
        <v>782</v>
      </c>
    </row>
    <row r="154" customFormat="false" ht="15" hidden="false" customHeight="false" outlineLevel="0" collapsed="false">
      <c r="A154" s="8" t="s">
        <v>1661</v>
      </c>
      <c r="B154" s="8" t="s">
        <v>1563</v>
      </c>
      <c r="C154" s="8" t="s">
        <v>1563</v>
      </c>
      <c r="D154" s="8" t="s">
        <v>1563</v>
      </c>
      <c r="E154" s="8" t="s">
        <v>1563</v>
      </c>
      <c r="F154" s="8" t="s">
        <v>1563</v>
      </c>
      <c r="G154" s="8" t="s">
        <v>1563</v>
      </c>
      <c r="H154" s="8" t="s">
        <v>1662</v>
      </c>
      <c r="I154" s="8" t="s">
        <v>788</v>
      </c>
    </row>
    <row r="155" customFormat="false" ht="15" hidden="false" customHeight="false" outlineLevel="0" collapsed="false">
      <c r="A155" s="8" t="s">
        <v>1663</v>
      </c>
      <c r="B155" s="8" t="s">
        <v>1563</v>
      </c>
      <c r="C155" s="8" t="s">
        <v>1563</v>
      </c>
      <c r="D155" s="8" t="s">
        <v>1661</v>
      </c>
      <c r="E155" s="8" t="s">
        <v>1563</v>
      </c>
      <c r="F155" s="8" t="s">
        <v>1563</v>
      </c>
      <c r="G155" s="8" t="s">
        <v>1563</v>
      </c>
      <c r="H155" s="8" t="s">
        <v>1662</v>
      </c>
      <c r="I155" s="8" t="s">
        <v>793</v>
      </c>
    </row>
    <row r="156" customFormat="false" ht="15" hidden="false" customHeight="false" outlineLevel="0" collapsed="false">
      <c r="A156" s="8" t="s">
        <v>1664</v>
      </c>
      <c r="B156" s="8" t="s">
        <v>1563</v>
      </c>
      <c r="C156" s="8" t="s">
        <v>1563</v>
      </c>
      <c r="D156" s="8" t="s">
        <v>1563</v>
      </c>
      <c r="E156" s="8" t="s">
        <v>1563</v>
      </c>
      <c r="F156" s="8" t="s">
        <v>1563</v>
      </c>
      <c r="G156" s="8" t="s">
        <v>1563</v>
      </c>
      <c r="H156" s="8" t="s">
        <v>1662</v>
      </c>
      <c r="I156" s="8" t="s">
        <v>797</v>
      </c>
    </row>
    <row r="157" customFormat="false" ht="15" hidden="false" customHeight="false" outlineLevel="0" collapsed="false">
      <c r="A157" s="8" t="s">
        <v>1659</v>
      </c>
      <c r="B157" s="8" t="s">
        <v>1665</v>
      </c>
      <c r="C157" s="8" t="s">
        <v>1563</v>
      </c>
      <c r="D157" s="8" t="s">
        <v>1563</v>
      </c>
      <c r="E157" s="8" t="s">
        <v>1563</v>
      </c>
      <c r="F157" s="8" t="s">
        <v>1563</v>
      </c>
      <c r="G157" s="8" t="s">
        <v>1563</v>
      </c>
      <c r="H157" s="8" t="s">
        <v>1666</v>
      </c>
      <c r="I157" s="8" t="s">
        <v>801</v>
      </c>
    </row>
    <row r="158" customFormat="false" ht="15" hidden="false" customHeight="false" outlineLevel="0" collapsed="false">
      <c r="A158" s="8" t="s">
        <v>1659</v>
      </c>
      <c r="B158" s="8" t="s">
        <v>1659</v>
      </c>
      <c r="C158" s="8" t="s">
        <v>1661</v>
      </c>
      <c r="D158" s="8" t="s">
        <v>1563</v>
      </c>
      <c r="E158" s="8" t="s">
        <v>1563</v>
      </c>
      <c r="F158" s="8" t="s">
        <v>1563</v>
      </c>
      <c r="G158" s="8" t="s">
        <v>1563</v>
      </c>
      <c r="H158" s="8" t="s">
        <v>1667</v>
      </c>
      <c r="I158" s="8" t="s">
        <v>806</v>
      </c>
    </row>
    <row r="159" customFormat="false" ht="15" hidden="false" customHeight="false" outlineLevel="0" collapsed="false">
      <c r="A159" s="8" t="s">
        <v>1659</v>
      </c>
      <c r="B159" s="8" t="s">
        <v>1659</v>
      </c>
      <c r="C159" s="8" t="s">
        <v>1659</v>
      </c>
      <c r="D159" s="8" t="s">
        <v>1661</v>
      </c>
      <c r="E159" s="8" t="s">
        <v>1563</v>
      </c>
      <c r="F159" s="8" t="s">
        <v>1563</v>
      </c>
      <c r="G159" s="8" t="s">
        <v>1563</v>
      </c>
      <c r="H159" s="8" t="s">
        <v>1668</v>
      </c>
      <c r="I159" s="8" t="s">
        <v>811</v>
      </c>
    </row>
    <row r="160" customFormat="false" ht="15" hidden="false" customHeight="false" outlineLevel="0" collapsed="false">
      <c r="A160" s="8" t="s">
        <v>1659</v>
      </c>
      <c r="B160" s="8" t="s">
        <v>1659</v>
      </c>
      <c r="C160" s="8" t="s">
        <v>1659</v>
      </c>
      <c r="D160" s="8" t="s">
        <v>1659</v>
      </c>
      <c r="E160" s="8" t="s">
        <v>1661</v>
      </c>
      <c r="F160" s="8" t="s">
        <v>1563</v>
      </c>
      <c r="G160" s="8" t="s">
        <v>1563</v>
      </c>
      <c r="H160" s="8" t="s">
        <v>1669</v>
      </c>
      <c r="I160" s="8" t="s">
        <v>816</v>
      </c>
    </row>
    <row r="161" customFormat="false" ht="15" hidden="false" customHeight="false" outlineLevel="0" collapsed="false">
      <c r="A161" s="8" t="s">
        <v>1659</v>
      </c>
      <c r="B161" s="8" t="s">
        <v>1659</v>
      </c>
      <c r="C161" s="8" t="s">
        <v>1659</v>
      </c>
      <c r="D161" s="8" t="s">
        <v>1659</v>
      </c>
      <c r="E161" s="8" t="s">
        <v>1659</v>
      </c>
      <c r="F161" s="8" t="s">
        <v>1661</v>
      </c>
      <c r="G161" s="8" t="s">
        <v>1563</v>
      </c>
      <c r="H161" s="8" t="s">
        <v>1670</v>
      </c>
      <c r="I161" s="8" t="s">
        <v>826</v>
      </c>
    </row>
    <row r="162" customFormat="false" ht="15" hidden="false" customHeight="false" outlineLevel="0" collapsed="false">
      <c r="A162" s="8" t="s">
        <v>1659</v>
      </c>
      <c r="B162" s="8" t="s">
        <v>1659</v>
      </c>
      <c r="C162" s="8" t="s">
        <v>1659</v>
      </c>
      <c r="D162" s="8" t="s">
        <v>1659</v>
      </c>
      <c r="E162" s="8" t="s">
        <v>1659</v>
      </c>
      <c r="F162" s="8" t="s">
        <v>1659</v>
      </c>
      <c r="G162" s="8" t="s">
        <v>1661</v>
      </c>
      <c r="H162" s="8" t="s">
        <v>1671</v>
      </c>
      <c r="I162" s="8" t="s">
        <v>832</v>
      </c>
    </row>
    <row r="164" customFormat="false" ht="15" hidden="false" customHeight="false" outlineLevel="0" collapsed="false">
      <c r="A164" s="13" t="s">
        <v>1672</v>
      </c>
      <c r="B164" s="2" t="s">
        <v>30</v>
      </c>
    </row>
    <row r="165" customFormat="false" ht="15" hidden="false" customHeight="false" outlineLevel="0" collapsed="false">
      <c r="A165" s="3" t="s">
        <v>1673</v>
      </c>
      <c r="B165" s="3" t="s">
        <v>1674</v>
      </c>
      <c r="C165" s="3" t="s">
        <v>1675</v>
      </c>
      <c r="D165" s="3" t="s">
        <v>1401</v>
      </c>
    </row>
    <row r="166" customFormat="false" ht="15" hidden="false" customHeight="false" outlineLevel="0" collapsed="false">
      <c r="A166" s="8" t="s">
        <v>1676</v>
      </c>
      <c r="B166" s="8" t="s">
        <v>1558</v>
      </c>
      <c r="C166" s="8" t="s">
        <v>1558</v>
      </c>
      <c r="D166" s="8" t="s">
        <v>874</v>
      </c>
    </row>
    <row r="167" customFormat="false" ht="15" hidden="false" customHeight="false" outlineLevel="0" collapsed="false">
      <c r="A167" s="8" t="s">
        <v>1677</v>
      </c>
      <c r="B167" s="8" t="s">
        <v>1558</v>
      </c>
      <c r="C167" s="8" t="s">
        <v>1558</v>
      </c>
      <c r="D167" s="8" t="s">
        <v>879</v>
      </c>
    </row>
    <row r="168" customFormat="false" ht="15" hidden="false" customHeight="false" outlineLevel="0" collapsed="false">
      <c r="A168" s="8" t="s">
        <v>1678</v>
      </c>
      <c r="B168" s="8" t="s">
        <v>1559</v>
      </c>
      <c r="C168" s="8" t="s">
        <v>1559</v>
      </c>
      <c r="D168" s="8" t="s">
        <v>883</v>
      </c>
    </row>
    <row r="169" customFormat="false" ht="15" hidden="false" customHeight="false" outlineLevel="0" collapsed="false">
      <c r="A169" s="8" t="s">
        <v>1679</v>
      </c>
      <c r="B169" s="8" t="s">
        <v>1680</v>
      </c>
      <c r="C169" s="8" t="s">
        <v>1681</v>
      </c>
      <c r="D169" s="8" t="s">
        <v>897</v>
      </c>
    </row>
    <row r="170" customFormat="false" ht="15" hidden="false" customHeight="false" outlineLevel="0" collapsed="false">
      <c r="A170" s="8" t="s">
        <v>1682</v>
      </c>
      <c r="B170" s="8" t="s">
        <v>1558</v>
      </c>
      <c r="C170" s="8" t="s">
        <v>1558</v>
      </c>
      <c r="D170" s="8" t="s">
        <v>907</v>
      </c>
    </row>
    <row r="172" customFormat="false" ht="15" hidden="false" customHeight="false" outlineLevel="0" collapsed="false">
      <c r="A172" s="13" t="s">
        <v>1683</v>
      </c>
      <c r="B172" s="2" t="s">
        <v>34</v>
      </c>
    </row>
    <row r="173" customFormat="false" ht="15" hidden="false" customHeight="false" outlineLevel="0" collapsed="false">
      <c r="A173" s="3" t="s">
        <v>1388</v>
      </c>
      <c r="B173" s="3" t="s">
        <v>1389</v>
      </c>
      <c r="C173" s="3" t="s">
        <v>1390</v>
      </c>
      <c r="D173" s="3" t="s">
        <v>6</v>
      </c>
    </row>
    <row r="174" customFormat="false" ht="15" hidden="false" customHeight="false" outlineLevel="0" collapsed="false">
      <c r="A174" s="8" t="s">
        <v>1563</v>
      </c>
      <c r="B174" s="8" t="s">
        <v>1684</v>
      </c>
      <c r="C174" s="8" t="s">
        <v>1685</v>
      </c>
      <c r="D174" s="8" t="s">
        <v>867</v>
      </c>
    </row>
    <row r="175" customFormat="false" ht="15" hidden="false" customHeight="false" outlineLevel="0" collapsed="false">
      <c r="A175" s="8" t="s">
        <v>1660</v>
      </c>
      <c r="B175" s="8" t="s">
        <v>1686</v>
      </c>
      <c r="C175" s="8" t="s">
        <v>1676</v>
      </c>
      <c r="D175" s="8" t="s">
        <v>940</v>
      </c>
    </row>
    <row r="176" customFormat="false" ht="23.85" hidden="false" customHeight="false" outlineLevel="0" collapsed="false">
      <c r="A176" s="8" t="s">
        <v>1660</v>
      </c>
      <c r="B176" s="8" t="s">
        <v>1687</v>
      </c>
      <c r="C176" s="8" t="s">
        <v>1688</v>
      </c>
      <c r="D176" s="8" t="s">
        <v>1689</v>
      </c>
    </row>
    <row r="177" customFormat="false" ht="15" hidden="false" customHeight="false" outlineLevel="0" collapsed="false">
      <c r="A177" s="8" t="s">
        <v>1676</v>
      </c>
      <c r="B177" s="8" t="s">
        <v>1690</v>
      </c>
      <c r="C177" s="8" t="s">
        <v>1691</v>
      </c>
      <c r="D177" s="8" t="s">
        <v>887</v>
      </c>
    </row>
    <row r="178" customFormat="false" ht="15" hidden="false" customHeight="false" outlineLevel="0" collapsed="false">
      <c r="A178" s="8" t="s">
        <v>1676</v>
      </c>
      <c r="B178" s="8" t="s">
        <v>1692</v>
      </c>
      <c r="C178" s="8" t="s">
        <v>1693</v>
      </c>
      <c r="D178" s="8" t="s">
        <v>897</v>
      </c>
    </row>
    <row r="180" customFormat="false" ht="15" hidden="false" customHeight="false" outlineLevel="0" collapsed="false">
      <c r="A180" s="13" t="s">
        <v>1694</v>
      </c>
      <c r="B180" s="2" t="s">
        <v>29</v>
      </c>
    </row>
    <row r="181" customFormat="false" ht="15" hidden="false" customHeight="false" outlineLevel="0" collapsed="false">
      <c r="A181" s="3" t="s">
        <v>1695</v>
      </c>
      <c r="B181" s="3" t="s">
        <v>1696</v>
      </c>
      <c r="C181" s="3" t="s">
        <v>1697</v>
      </c>
      <c r="D181" s="3" t="s">
        <v>1698</v>
      </c>
      <c r="E181" s="3" t="s">
        <v>6</v>
      </c>
    </row>
    <row r="182" customFormat="false" ht="15" hidden="false" customHeight="false" outlineLevel="0" collapsed="false">
      <c r="A182" s="8" t="s">
        <v>1699</v>
      </c>
      <c r="B182" s="8" t="s">
        <v>1700</v>
      </c>
      <c r="C182" s="8" t="s">
        <v>1701</v>
      </c>
      <c r="D182" s="8" t="s">
        <v>1702</v>
      </c>
      <c r="E182" s="8" t="s">
        <v>836</v>
      </c>
    </row>
    <row r="183" customFormat="false" ht="15" hidden="false" customHeight="false" outlineLevel="0" collapsed="false">
      <c r="A183" s="8" t="s">
        <v>1703</v>
      </c>
      <c r="B183" s="8" t="s">
        <v>1704</v>
      </c>
      <c r="C183" s="8" t="s">
        <v>1705</v>
      </c>
      <c r="D183" s="8" t="s">
        <v>1706</v>
      </c>
      <c r="E183" s="8" t="s">
        <v>840</v>
      </c>
    </row>
    <row r="184" customFormat="false" ht="15" hidden="false" customHeight="false" outlineLevel="0" collapsed="false">
      <c r="A184" s="8" t="s">
        <v>1707</v>
      </c>
      <c r="B184" s="8" t="s">
        <v>1708</v>
      </c>
      <c r="C184" s="8" t="s">
        <v>1709</v>
      </c>
      <c r="D184" s="8" t="s">
        <v>1710</v>
      </c>
      <c r="E184" s="8" t="s">
        <v>940</v>
      </c>
    </row>
    <row r="185" customFormat="false" ht="15" hidden="false" customHeight="false" outlineLevel="0" collapsed="false">
      <c r="A185" s="8" t="s">
        <v>1711</v>
      </c>
      <c r="B185" s="8" t="s">
        <v>1712</v>
      </c>
      <c r="C185" s="8" t="s">
        <v>1713</v>
      </c>
      <c r="D185" s="8" t="s">
        <v>1714</v>
      </c>
      <c r="E185" s="8" t="s">
        <v>922</v>
      </c>
    </row>
    <row r="187" customFormat="false" ht="15" hidden="false" customHeight="false" outlineLevel="0" collapsed="false">
      <c r="A187" s="13" t="s">
        <v>1715</v>
      </c>
      <c r="B187" s="2" t="s">
        <v>29</v>
      </c>
    </row>
    <row r="188" customFormat="false" ht="15" hidden="false" customHeight="false" outlineLevel="0" collapsed="false">
      <c r="A188" s="3" t="s">
        <v>1716</v>
      </c>
      <c r="B188" s="3" t="s">
        <v>1372</v>
      </c>
      <c r="C188" s="3" t="s">
        <v>1401</v>
      </c>
    </row>
    <row r="189" customFormat="false" ht="15" hidden="false" customHeight="false" outlineLevel="0" collapsed="false">
      <c r="A189" s="8" t="s">
        <v>1606</v>
      </c>
      <c r="B189" s="8" t="s">
        <v>1717</v>
      </c>
      <c r="C189" s="8" t="s">
        <v>955</v>
      </c>
    </row>
    <row r="190" customFormat="false" ht="15" hidden="false" customHeight="false" outlineLevel="0" collapsed="false">
      <c r="A190" s="8" t="s">
        <v>1608</v>
      </c>
      <c r="B190" s="8" t="s">
        <v>1529</v>
      </c>
      <c r="C190" s="8" t="s">
        <v>961</v>
      </c>
    </row>
    <row r="191" customFormat="false" ht="15" hidden="false" customHeight="false" outlineLevel="0" collapsed="false">
      <c r="A191" s="8" t="s">
        <v>1718</v>
      </c>
      <c r="B191" s="8" t="s">
        <v>1529</v>
      </c>
      <c r="C191" s="8" t="s">
        <v>965</v>
      </c>
    </row>
    <row r="192" customFormat="false" ht="15" hidden="false" customHeight="false" outlineLevel="0" collapsed="false">
      <c r="A192" s="8" t="s">
        <v>1719</v>
      </c>
      <c r="B192" s="8" t="s">
        <v>1720</v>
      </c>
      <c r="C192" s="8" t="s">
        <v>970</v>
      </c>
    </row>
    <row r="194" customFormat="false" ht="15" hidden="false" customHeight="false" outlineLevel="0" collapsed="false">
      <c r="A194" s="13" t="s">
        <v>1721</v>
      </c>
      <c r="B194" s="2" t="s">
        <v>30</v>
      </c>
    </row>
    <row r="195" customFormat="false" ht="15" hidden="false" customHeight="false" outlineLevel="0" collapsed="false">
      <c r="A195" s="3" t="s">
        <v>1652</v>
      </c>
      <c r="B195" s="3" t="s">
        <v>1679</v>
      </c>
      <c r="C195" s="3" t="s">
        <v>1722</v>
      </c>
      <c r="D195" s="3" t="s">
        <v>1401</v>
      </c>
    </row>
    <row r="196" customFormat="false" ht="15" hidden="false" customHeight="false" outlineLevel="0" collapsed="false">
      <c r="A196" s="8" t="s">
        <v>1723</v>
      </c>
      <c r="B196" s="8" t="s">
        <v>1559</v>
      </c>
      <c r="C196" s="8" t="s">
        <v>1559</v>
      </c>
      <c r="D196" s="8" t="s">
        <v>983</v>
      </c>
    </row>
    <row r="197" customFormat="false" ht="15" hidden="false" customHeight="false" outlineLevel="0" collapsed="false">
      <c r="A197" s="8" t="s">
        <v>1558</v>
      </c>
      <c r="B197" s="8" t="s">
        <v>1559</v>
      </c>
      <c r="C197" s="8" t="s">
        <v>1558</v>
      </c>
      <c r="D197" s="8" t="s">
        <v>983</v>
      </c>
    </row>
    <row r="198" customFormat="false" ht="15" hidden="false" customHeight="false" outlineLevel="0" collapsed="false">
      <c r="A198" s="8" t="s">
        <v>1558</v>
      </c>
      <c r="B198" s="8" t="s">
        <v>1558</v>
      </c>
      <c r="C198" s="8" t="s">
        <v>1559</v>
      </c>
      <c r="D198" s="8" t="s">
        <v>1724</v>
      </c>
    </row>
    <row r="200" customFormat="false" ht="15" hidden="false" customHeight="false" outlineLevel="0" collapsed="false">
      <c r="A200" s="13" t="s">
        <v>1725</v>
      </c>
      <c r="B200" s="2" t="s">
        <v>30</v>
      </c>
    </row>
    <row r="201" customFormat="false" ht="15" hidden="false" customHeight="false" outlineLevel="0" collapsed="false">
      <c r="A201" s="3" t="s">
        <v>1726</v>
      </c>
      <c r="B201" s="3" t="s">
        <v>1727</v>
      </c>
      <c r="C201" s="3" t="s">
        <v>1372</v>
      </c>
      <c r="D201" s="3" t="s">
        <v>1401</v>
      </c>
    </row>
    <row r="202" customFormat="false" ht="15" hidden="false" customHeight="false" outlineLevel="0" collapsed="false">
      <c r="A202" s="8" t="s">
        <v>1558</v>
      </c>
      <c r="B202" s="8" t="s">
        <v>1558</v>
      </c>
      <c r="C202" s="8" t="s">
        <v>1571</v>
      </c>
      <c r="D202" s="8" t="s">
        <v>1023</v>
      </c>
    </row>
    <row r="203" customFormat="false" ht="15" hidden="false" customHeight="false" outlineLevel="0" collapsed="false">
      <c r="A203" s="8" t="s">
        <v>1558</v>
      </c>
      <c r="B203" s="8" t="s">
        <v>1559</v>
      </c>
      <c r="C203" s="8" t="s">
        <v>1728</v>
      </c>
      <c r="D203" s="8" t="s">
        <v>1729</v>
      </c>
    </row>
    <row r="204" customFormat="false" ht="15" hidden="false" customHeight="false" outlineLevel="0" collapsed="false">
      <c r="A204" s="8" t="s">
        <v>1730</v>
      </c>
      <c r="B204" s="8" t="s">
        <v>1563</v>
      </c>
      <c r="C204" s="8" t="s">
        <v>1731</v>
      </c>
      <c r="D204" s="8" t="s">
        <v>1043</v>
      </c>
    </row>
    <row r="206" customFormat="false" ht="15" hidden="false" customHeight="false" outlineLevel="0" collapsed="false">
      <c r="A206" s="13" t="s">
        <v>1732</v>
      </c>
      <c r="B206" s="2" t="s">
        <v>34</v>
      </c>
    </row>
    <row r="207" customFormat="false" ht="15" hidden="false" customHeight="false" outlineLevel="0" collapsed="false">
      <c r="A207" s="3" t="s">
        <v>1388</v>
      </c>
      <c r="B207" s="3" t="s">
        <v>1389</v>
      </c>
      <c r="C207" s="3" t="s">
        <v>1390</v>
      </c>
      <c r="D207" s="3" t="s">
        <v>1401</v>
      </c>
    </row>
    <row r="208" customFormat="false" ht="15" hidden="false" customHeight="false" outlineLevel="0" collapsed="false">
      <c r="A208" s="8" t="s">
        <v>1733</v>
      </c>
      <c r="B208" s="8" t="s">
        <v>1734</v>
      </c>
      <c r="C208" s="8" t="s">
        <v>1529</v>
      </c>
      <c r="D208" s="8" t="s">
        <v>1116</v>
      </c>
    </row>
    <row r="209" customFormat="false" ht="15" hidden="false" customHeight="false" outlineLevel="0" collapsed="false">
      <c r="A209" s="8" t="s">
        <v>1529</v>
      </c>
      <c r="B209" s="8" t="s">
        <v>1735</v>
      </c>
      <c r="C209" s="8" t="s">
        <v>1736</v>
      </c>
      <c r="D209" s="8" t="s">
        <v>1116</v>
      </c>
    </row>
    <row r="210" customFormat="false" ht="15" hidden="false" customHeight="false" outlineLevel="0" collapsed="false">
      <c r="A210" s="8" t="s">
        <v>1736</v>
      </c>
      <c r="B210" s="8" t="s">
        <v>1737</v>
      </c>
      <c r="C210" s="8" t="s">
        <v>1738</v>
      </c>
      <c r="D210" s="8" t="s">
        <v>1116</v>
      </c>
    </row>
    <row r="211" customFormat="false" ht="15" hidden="false" customHeight="false" outlineLevel="0" collapsed="false">
      <c r="A211" s="8" t="s">
        <v>1733</v>
      </c>
      <c r="B211" s="8" t="s">
        <v>1739</v>
      </c>
      <c r="C211" s="8" t="s">
        <v>1740</v>
      </c>
      <c r="D211" s="8" t="s">
        <v>1116</v>
      </c>
    </row>
    <row r="212" customFormat="false" ht="15" hidden="false" customHeight="false" outlineLevel="0" collapsed="false">
      <c r="A212" s="8" t="s">
        <v>1582</v>
      </c>
      <c r="B212" s="8" t="s">
        <v>1741</v>
      </c>
      <c r="C212" s="8" t="s">
        <v>1742</v>
      </c>
      <c r="D212" s="8" t="s">
        <v>1121</v>
      </c>
    </row>
    <row r="214" customFormat="false" ht="15" hidden="false" customHeight="false" outlineLevel="0" collapsed="false">
      <c r="A214" s="13" t="s">
        <v>1743</v>
      </c>
      <c r="B214" s="2" t="s">
        <v>29</v>
      </c>
    </row>
    <row r="215" customFormat="false" ht="15" hidden="false" customHeight="false" outlineLevel="0" collapsed="false">
      <c r="A215" s="3" t="s">
        <v>1524</v>
      </c>
      <c r="B215" s="3" t="s">
        <v>1744</v>
      </c>
      <c r="C215" s="3" t="s">
        <v>1401</v>
      </c>
    </row>
    <row r="216" customFormat="false" ht="15" hidden="false" customHeight="false" outlineLevel="0" collapsed="false">
      <c r="A216" s="8" t="s">
        <v>1745</v>
      </c>
      <c r="B216" s="8" t="s">
        <v>1746</v>
      </c>
      <c r="C216" s="8" t="s">
        <v>1110</v>
      </c>
    </row>
    <row r="217" customFormat="false" ht="15" hidden="false" customHeight="false" outlineLevel="0" collapsed="false">
      <c r="A217" s="8" t="s">
        <v>1747</v>
      </c>
      <c r="B217" s="8" t="s">
        <v>1748</v>
      </c>
      <c r="C217" s="8" t="s">
        <v>1082</v>
      </c>
    </row>
    <row r="218" customFormat="false" ht="15" hidden="false" customHeight="false" outlineLevel="0" collapsed="false">
      <c r="A218" s="8" t="s">
        <v>1749</v>
      </c>
      <c r="B218" s="8" t="s">
        <v>1750</v>
      </c>
      <c r="C218" s="8" t="s">
        <v>1038</v>
      </c>
    </row>
    <row r="219" customFormat="false" ht="15" hidden="false" customHeight="false" outlineLevel="0" collapsed="false">
      <c r="A219" s="8" t="s">
        <v>1751</v>
      </c>
      <c r="B219" s="8" t="s">
        <v>1752</v>
      </c>
      <c r="C219" s="8" t="s">
        <v>1126</v>
      </c>
    </row>
    <row r="221" customFormat="false" ht="15" hidden="false" customHeight="false" outlineLevel="0" collapsed="false">
      <c r="A221" s="13" t="s">
        <v>1753</v>
      </c>
      <c r="B221" s="2" t="s">
        <v>32</v>
      </c>
    </row>
    <row r="222" customFormat="false" ht="15" hidden="false" customHeight="false" outlineLevel="0" collapsed="false">
      <c r="A222" s="3" t="s">
        <v>1754</v>
      </c>
      <c r="B222" s="3" t="s">
        <v>1372</v>
      </c>
      <c r="C222" s="3" t="s">
        <v>1401</v>
      </c>
    </row>
    <row r="223" customFormat="false" ht="15" hidden="false" customHeight="false" outlineLevel="0" collapsed="false">
      <c r="A223" s="8" t="s">
        <v>1755</v>
      </c>
      <c r="B223" s="8" t="s">
        <v>1756</v>
      </c>
      <c r="C223" s="8" t="s">
        <v>1209</v>
      </c>
    </row>
    <row r="224" customFormat="false" ht="15" hidden="false" customHeight="false" outlineLevel="0" collapsed="false">
      <c r="A224" s="8" t="s">
        <v>1757</v>
      </c>
      <c r="B224" s="8" t="s">
        <v>1758</v>
      </c>
      <c r="C224" s="8" t="s">
        <v>1215</v>
      </c>
    </row>
    <row r="225" customFormat="false" ht="15" hidden="false" customHeight="false" outlineLevel="0" collapsed="false">
      <c r="A225" s="8" t="s">
        <v>1759</v>
      </c>
      <c r="B225" s="8" t="s">
        <v>1760</v>
      </c>
      <c r="C225" s="8" t="s">
        <v>1219</v>
      </c>
    </row>
    <row r="226" customFormat="false" ht="15" hidden="false" customHeight="false" outlineLevel="0" collapsed="false">
      <c r="A226" s="8" t="s">
        <v>1761</v>
      </c>
      <c r="B226" s="8" t="s">
        <v>1760</v>
      </c>
      <c r="C226" s="8" t="s">
        <v>1223</v>
      </c>
    </row>
    <row r="227" customFormat="false" ht="15" hidden="false" customHeight="false" outlineLevel="0" collapsed="false">
      <c r="A227" s="8" t="s">
        <v>1762</v>
      </c>
      <c r="B227" s="8" t="s">
        <v>1763</v>
      </c>
      <c r="C227" s="8" t="s">
        <v>480</v>
      </c>
    </row>
    <row r="228" customFormat="false" ht="15" hidden="false" customHeight="false" outlineLevel="0" collapsed="false">
      <c r="A228" s="8" t="s">
        <v>1764</v>
      </c>
      <c r="B228" s="8" t="s">
        <v>1519</v>
      </c>
      <c r="C228" s="8" t="s">
        <v>484</v>
      </c>
    </row>
    <row r="229" customFormat="false" ht="15" hidden="false" customHeight="false" outlineLevel="0" collapsed="false">
      <c r="A229" s="8" t="s">
        <v>1765</v>
      </c>
      <c r="B229" s="8" t="s">
        <v>1766</v>
      </c>
      <c r="C229" s="8" t="s">
        <v>494</v>
      </c>
    </row>
    <row r="230" customFormat="false" ht="15" hidden="false" customHeight="false" outlineLevel="0" collapsed="false">
      <c r="A230" s="8" t="s">
        <v>1767</v>
      </c>
      <c r="B230" s="8" t="s">
        <v>1378</v>
      </c>
      <c r="C230" s="8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2026-10-16T05:50:13Z</dcterms:created>
  <dc:creator>openpyxl</dc:creator>
  <dc:description/>
  <dc:language>en-US</dc:language>
  <cp:lastModifiedBy/>
  <dcterms:modified xsi:type="dcterms:W3CDTF">2026-10-16T05:50:13Z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